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myjcuedu-my.sharepoint.com/personal/elliott_schmidt_my_jcu_edu_au/Documents/PhD dissertation/Data/Chapter4_Latitude/excel_files/"/>
    </mc:Choice>
  </mc:AlternateContent>
  <xr:revisionPtr revIDLastSave="2584" documentId="13_ncr:1_{43FDB354-73A7-4C17-B98D-FD36DB51444D}" xr6:coauthVersionLast="47" xr6:coauthVersionMax="47" xr10:uidLastSave="{5B1EA556-B64D-4735-BA99-A4CDF44FE605}"/>
  <bookViews>
    <workbookView xWindow="-110" yWindow="-110" windowWidth="19420" windowHeight="10300" xr2:uid="{CA413052-4D97-4154-9B0B-598808B3BD50}"/>
  </bookViews>
  <sheets>
    <sheet name="Clutches" sheetId="1" r:id="rId1"/>
    <sheet name="Glossary" sheetId="4" r:id="rId2"/>
  </sheets>
  <definedNames>
    <definedName name="_xlnm._FilterDatabase" localSheetId="0" hidden="1">Clutches!$A$1:$AO$100</definedName>
    <definedName name="_xlnm.Print_Titles" localSheetId="0">Clutches!$1:$1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98" i="1" l="1"/>
  <c r="AL98" i="1" s="1"/>
  <c r="AK97" i="1"/>
  <c r="AL97" i="1" s="1"/>
  <c r="AK94" i="1"/>
  <c r="AL94" i="1" s="1"/>
  <c r="AK93" i="1"/>
  <c r="AL93" i="1" s="1"/>
  <c r="AK92" i="1"/>
  <c r="AL92" i="1" s="1"/>
  <c r="AK91" i="1"/>
  <c r="AL91" i="1" s="1"/>
  <c r="AK90" i="1"/>
  <c r="AL90" i="1" s="1"/>
  <c r="AD98" i="1"/>
  <c r="AK95" i="1"/>
  <c r="AL95" i="1" s="1"/>
  <c r="AK89" i="1"/>
  <c r="AL89" i="1" s="1"/>
  <c r="AK88" i="1"/>
  <c r="AL88" i="1" s="1"/>
  <c r="AK87" i="1"/>
  <c r="AL87" i="1" s="1"/>
  <c r="AK86" i="1"/>
  <c r="AL86" i="1" s="1"/>
  <c r="AK85" i="1"/>
  <c r="AL85" i="1" s="1"/>
  <c r="AK84" i="1"/>
  <c r="AL84" i="1" s="1"/>
  <c r="AK83" i="1"/>
  <c r="AL83" i="1" s="1"/>
  <c r="AK81" i="1"/>
  <c r="AL81" i="1" s="1"/>
  <c r="AK79" i="1"/>
  <c r="AL79" i="1" s="1"/>
  <c r="AK78" i="1"/>
  <c r="AL78" i="1" s="1"/>
  <c r="AK77" i="1"/>
  <c r="AL77" i="1" s="1"/>
  <c r="AK75" i="1"/>
  <c r="AL75" i="1" s="1"/>
  <c r="AK74" i="1"/>
  <c r="AL74" i="1" s="1"/>
  <c r="AK72" i="1"/>
  <c r="AL72" i="1" s="1"/>
  <c r="AK71" i="1"/>
  <c r="AL71" i="1" s="1"/>
  <c r="AK68" i="1"/>
  <c r="AL68" i="1" s="1"/>
  <c r="AK67" i="1"/>
  <c r="AL67" i="1" s="1"/>
  <c r="AK66" i="1"/>
  <c r="AL66" i="1" s="1"/>
  <c r="AK65" i="1"/>
  <c r="AL65" i="1" s="1"/>
  <c r="AK63" i="1"/>
  <c r="AL63" i="1" s="1"/>
  <c r="AK62" i="1"/>
  <c r="AL62" i="1" s="1"/>
  <c r="AK61" i="1"/>
  <c r="AL61" i="1" s="1"/>
  <c r="AK60" i="1"/>
  <c r="AL60" i="1" s="1"/>
  <c r="AK59" i="1"/>
  <c r="AL59" i="1" s="1"/>
  <c r="AK58" i="1"/>
  <c r="AL58" i="1" s="1"/>
  <c r="AK57" i="1"/>
  <c r="AL57" i="1" s="1"/>
  <c r="AK56" i="1"/>
  <c r="AL56" i="1" s="1"/>
  <c r="AK55" i="1"/>
  <c r="AL55" i="1" s="1"/>
  <c r="AK54" i="1"/>
  <c r="AL54" i="1" s="1"/>
  <c r="AK53" i="1"/>
  <c r="AL53" i="1" s="1"/>
  <c r="AK52" i="1"/>
  <c r="AL52" i="1" s="1"/>
  <c r="AK51" i="1"/>
  <c r="AL51" i="1" s="1"/>
  <c r="AK50" i="1"/>
  <c r="AL50" i="1" s="1"/>
  <c r="AK49" i="1"/>
  <c r="AL49" i="1" s="1"/>
  <c r="AK48" i="1"/>
  <c r="AL48" i="1" s="1"/>
  <c r="AK47" i="1"/>
  <c r="AL47" i="1" s="1"/>
  <c r="AK46" i="1"/>
  <c r="AL46" i="1" s="1"/>
  <c r="AK45" i="1"/>
  <c r="AL45" i="1" s="1"/>
  <c r="AK42" i="1"/>
  <c r="AL42" i="1" s="1"/>
  <c r="AK41" i="1"/>
  <c r="AL41" i="1" s="1"/>
  <c r="AK40" i="1"/>
  <c r="AL40" i="1" s="1"/>
  <c r="AK39" i="1"/>
  <c r="AL39" i="1" s="1"/>
  <c r="T92" i="1"/>
  <c r="T88" i="1"/>
  <c r="AK36" i="1"/>
  <c r="AL36" i="1" s="1"/>
  <c r="AK35" i="1"/>
  <c r="AL35" i="1" s="1"/>
  <c r="AK33" i="1"/>
  <c r="AK32" i="1"/>
  <c r="AK37" i="1"/>
  <c r="AL37" i="1" s="1"/>
  <c r="AK34" i="1"/>
  <c r="AL34" i="1" s="1"/>
  <c r="AK31" i="1"/>
  <c r="AL31" i="1" s="1"/>
  <c r="AK30" i="1"/>
  <c r="AL30" i="1" s="1"/>
  <c r="AK29" i="1"/>
  <c r="AL29" i="1" s="1"/>
  <c r="AK28" i="1"/>
  <c r="AK26" i="1"/>
  <c r="AL26" i="1" s="1"/>
  <c r="AK24" i="1"/>
  <c r="AL24" i="1" s="1"/>
  <c r="AK23" i="1"/>
  <c r="AL23" i="1" s="1"/>
  <c r="AK22" i="1"/>
  <c r="AL22" i="1" s="1"/>
  <c r="AK21" i="1"/>
  <c r="AL21" i="1" s="1"/>
  <c r="AK20" i="1"/>
  <c r="AL20" i="1" s="1"/>
  <c r="AK19" i="1"/>
  <c r="AL19" i="1" s="1"/>
  <c r="AK18" i="1"/>
  <c r="AL18" i="1" s="1"/>
  <c r="AK17" i="1"/>
  <c r="AL17" i="1" s="1"/>
  <c r="AK16" i="1"/>
  <c r="AL16" i="1" s="1"/>
  <c r="AK15" i="1"/>
  <c r="AL15" i="1" s="1"/>
  <c r="AK14" i="1"/>
  <c r="AL14" i="1" s="1"/>
  <c r="AK9" i="1"/>
  <c r="AL9" i="1" s="1"/>
  <c r="AK10" i="1"/>
  <c r="AL10" i="1" s="1"/>
  <c r="AK11" i="1"/>
  <c r="AL11" i="1" s="1"/>
  <c r="AK12" i="1"/>
  <c r="AL12" i="1" s="1"/>
  <c r="AK13" i="1"/>
  <c r="AL13" i="1" s="1"/>
  <c r="AK8" i="1"/>
  <c r="AL8" i="1" s="1"/>
  <c r="AK7" i="1"/>
  <c r="AL7" i="1" s="1"/>
  <c r="AK6" i="1"/>
  <c r="AL6" i="1" s="1"/>
  <c r="AK5" i="1"/>
  <c r="AL5" i="1" s="1"/>
  <c r="AK4" i="1"/>
  <c r="AL4" i="1" s="1"/>
  <c r="AK3" i="1"/>
  <c r="AL3" i="1" s="1"/>
  <c r="AK2" i="1"/>
  <c r="AL2" i="1" s="1"/>
  <c r="AD97" i="1"/>
  <c r="AD96" i="1"/>
  <c r="AD95" i="1"/>
  <c r="AD94" i="1"/>
  <c r="AD93" i="1"/>
  <c r="AD92" i="1"/>
  <c r="AD91" i="1"/>
  <c r="AD90" i="1"/>
  <c r="AD89" i="1"/>
  <c r="AD88" i="1"/>
  <c r="AD87" i="1"/>
  <c r="AD86" i="1"/>
  <c r="AD85" i="1"/>
  <c r="AD84" i="1"/>
  <c r="AD83" i="1"/>
  <c r="AD81" i="1"/>
  <c r="AD79" i="1"/>
  <c r="AD78" i="1"/>
  <c r="AD77" i="1"/>
  <c r="AD75" i="1"/>
  <c r="AD74" i="1"/>
  <c r="AD71" i="1"/>
  <c r="AD72" i="1"/>
  <c r="AD68" i="1"/>
  <c r="AD67" i="1"/>
  <c r="AD66" i="1"/>
  <c r="AD65" i="1"/>
  <c r="AD64" i="1"/>
  <c r="AD63" i="1"/>
  <c r="AD62" i="1"/>
  <c r="AD61" i="1"/>
  <c r="AD60" i="1"/>
  <c r="AD59" i="1"/>
  <c r="AD58" i="1"/>
  <c r="AD57" i="1"/>
  <c r="AD56" i="1"/>
  <c r="AD55" i="1"/>
  <c r="AD54" i="1"/>
  <c r="AD53" i="1"/>
  <c r="AD52" i="1"/>
  <c r="AD51" i="1"/>
  <c r="AD50" i="1"/>
  <c r="AD49" i="1"/>
  <c r="AD48" i="1"/>
  <c r="AD47" i="1"/>
  <c r="AD46" i="1"/>
  <c r="W53" i="1"/>
  <c r="W54" i="1"/>
  <c r="W55" i="1"/>
  <c r="W56" i="1"/>
  <c r="W57" i="1"/>
  <c r="W58" i="1"/>
  <c r="W59" i="1"/>
  <c r="W60" i="1"/>
  <c r="W61" i="1"/>
  <c r="W62" i="1"/>
  <c r="W63" i="1"/>
  <c r="W64" i="1"/>
  <c r="W65" i="1"/>
  <c r="W66" i="1"/>
  <c r="W67" i="1"/>
  <c r="W68" i="1"/>
  <c r="AL43" i="1"/>
  <c r="AD45" i="1"/>
  <c r="AD43" i="1"/>
  <c r="AD42" i="1"/>
  <c r="AD41" i="1"/>
  <c r="AD40" i="1"/>
  <c r="AD36" i="1"/>
  <c r="AD39" i="1"/>
  <c r="W52" i="1"/>
  <c r="W51" i="1"/>
  <c r="W50" i="1"/>
  <c r="AD37" i="1"/>
  <c r="AD38" i="1"/>
  <c r="AD35" i="1"/>
  <c r="AD30" i="1"/>
  <c r="AD31" i="1"/>
  <c r="AD32" i="1"/>
  <c r="AD33" i="1"/>
  <c r="AD34" i="1"/>
  <c r="AD29" i="1"/>
  <c r="W49" i="1"/>
  <c r="W42" i="1"/>
  <c r="W43" i="1"/>
  <c r="W44" i="1"/>
  <c r="W45" i="1"/>
  <c r="W46" i="1"/>
  <c r="W47" i="1"/>
  <c r="W48" i="1"/>
  <c r="W41" i="1"/>
  <c r="AL32" i="1" l="1"/>
  <c r="AD26" i="1" l="1"/>
  <c r="AD25" i="1"/>
  <c r="AD24" i="1"/>
  <c r="AD23" i="1"/>
  <c r="AD22" i="1"/>
  <c r="AD21" i="1"/>
  <c r="AD16" i="1"/>
  <c r="AD17" i="1"/>
  <c r="AD18" i="1"/>
  <c r="AD19" i="1"/>
  <c r="AD20" i="1"/>
  <c r="AD15" i="1"/>
  <c r="AD9" i="1"/>
  <c r="AD10" i="1"/>
  <c r="AD11" i="1"/>
  <c r="AD12" i="1"/>
  <c r="AD13" i="1"/>
  <c r="AD5" i="1"/>
  <c r="AD6" i="1"/>
  <c r="AD7" i="1"/>
  <c r="AD8" i="1"/>
  <c r="AD4" i="1"/>
</calcChain>
</file>

<file path=xl/sharedStrings.xml><?xml version="1.0" encoding="utf-8"?>
<sst xmlns="http://schemas.openxmlformats.org/spreadsheetml/2006/main" count="1210" uniqueCount="433">
  <si>
    <t>CLUTCH_NUMBER</t>
  </si>
  <si>
    <t>DATA_EGGS_FOUND</t>
  </si>
  <si>
    <t>COLOR</t>
  </si>
  <si>
    <t>MALE</t>
  </si>
  <si>
    <t>FEMALE</t>
  </si>
  <si>
    <t>REGION</t>
  </si>
  <si>
    <t>POPULATION</t>
  </si>
  <si>
    <t>MALE_STANDARD_LENGTH</t>
  </si>
  <si>
    <t>MALE_MASS</t>
  </si>
  <si>
    <t>FEMALE_STANDARD_LENGTH</t>
  </si>
  <si>
    <t>FEMALE_MASS</t>
  </si>
  <si>
    <t>MALE_LAT</t>
  </si>
  <si>
    <t>MALE_LONG</t>
  </si>
  <si>
    <t>FEMALE_LAT</t>
  </si>
  <si>
    <t>FEMALE_LONG</t>
  </si>
  <si>
    <t>TEMPERATURE</t>
  </si>
  <si>
    <t>TANK</t>
  </si>
  <si>
    <t>ROOM</t>
  </si>
  <si>
    <t>CLUTCH_ORDER</t>
  </si>
  <si>
    <t>DAYS_IN_TREATMENT</t>
  </si>
  <si>
    <t>DATE_EGGS_LAST_CHECKED</t>
  </si>
  <si>
    <t>PHOTO</t>
  </si>
  <si>
    <t>DATE_OF_PHOTO</t>
  </si>
  <si>
    <t>NUMBER_OF_EGGS_SAMPLED</t>
  </si>
  <si>
    <t>NUMBER_OF_EGGS_LOST</t>
  </si>
  <si>
    <t>EGG_COUNT</t>
  </si>
  <si>
    <t>RESEARCHER</t>
  </si>
  <si>
    <t>PHOTO_FOR_COUNT</t>
  </si>
  <si>
    <t>DATE_OF_HATCH</t>
  </si>
  <si>
    <t>HATCHING_TIME</t>
  </si>
  <si>
    <t>HATCHLING_PHOTO_FILE</t>
  </si>
  <si>
    <t>HATCHLINGS_PHOTO</t>
  </si>
  <si>
    <t>HATCHLINGS_MEASURED</t>
  </si>
  <si>
    <t>HATCHLINGS_EXP_USED</t>
  </si>
  <si>
    <t>HATCHLINGS_UNHATCHED</t>
  </si>
  <si>
    <t>HATCHLINGS_EXTRA</t>
  </si>
  <si>
    <t>HATCHLINGS</t>
  </si>
  <si>
    <t>HATCHING_SUCCESS</t>
  </si>
  <si>
    <t>PROJECT_CODE</t>
  </si>
  <si>
    <t>notes_hatchlings</t>
  </si>
  <si>
    <t>notes</t>
  </si>
  <si>
    <t>16/12/2022</t>
  </si>
  <si>
    <t>white</t>
  </si>
  <si>
    <t>CPRE372</t>
  </si>
  <si>
    <t>CPRE209</t>
  </si>
  <si>
    <t>core</t>
  </si>
  <si>
    <t>Pretty Patches</t>
  </si>
  <si>
    <t>NA</t>
  </si>
  <si>
    <t>Y</t>
  </si>
  <si>
    <t>EAS</t>
  </si>
  <si>
    <t>IMG_6972</t>
  </si>
  <si>
    <t>IMG_6985</t>
  </si>
  <si>
    <t>YYC: hatchling photo for clutch 48 was taken when 25 eggs were unhatched_02/01/2022</t>
  </si>
  <si>
    <t>mostly colored</t>
  </si>
  <si>
    <t>CARL237</t>
  </si>
  <si>
    <t>CARL219</t>
  </si>
  <si>
    <t>Arlington Reef</t>
  </si>
  <si>
    <t>IMG_6966</t>
  </si>
  <si>
    <t>IMG_7074</t>
  </si>
  <si>
    <t>YYC: hatchling photo for clutch 51 taken when 4 eggs were unhatched_03/01/2022</t>
  </si>
  <si>
    <t>LCKM164</t>
  </si>
  <si>
    <t>LCKM156</t>
  </si>
  <si>
    <t>leading</t>
  </si>
  <si>
    <t>Cockermouth Island</t>
  </si>
  <si>
    <t>IMG_6976</t>
  </si>
  <si>
    <t>IMG_7120</t>
  </si>
  <si>
    <t>hatchlings = 30 +120 + 2 + photo</t>
  </si>
  <si>
    <t>CARL344</t>
  </si>
  <si>
    <t>CARL370</t>
  </si>
  <si>
    <t>IMG_7011</t>
  </si>
  <si>
    <t>hatchlings = 60 + photo taken for hatchling measurements</t>
  </si>
  <si>
    <t>CSUD013</t>
  </si>
  <si>
    <t>CSUD017</t>
  </si>
  <si>
    <t>Sudbury Reef</t>
  </si>
  <si>
    <t>IMG_7022</t>
  </si>
  <si>
    <t>IMG_7169</t>
  </si>
  <si>
    <t>hatchlings = 30 + 90  + photo + 25(unhatched)</t>
  </si>
  <si>
    <t>CVLA049</t>
  </si>
  <si>
    <t>CVLA098</t>
  </si>
  <si>
    <t>Vlassof Cay</t>
  </si>
  <si>
    <t>IMG_7029</t>
  </si>
  <si>
    <t>IMG_7137</t>
  </si>
  <si>
    <t>hatchlings = 30 + 90 + 240 + 2 + photo</t>
  </si>
  <si>
    <t>CARL218</t>
  </si>
  <si>
    <t>CARL222</t>
  </si>
  <si>
    <t>IMG_7049</t>
  </si>
  <si>
    <t>IMG_7178</t>
  </si>
  <si>
    <t>hatchlings = 30 + 90 + photo + 25(unhatched)</t>
  </si>
  <si>
    <t>CVLA106</t>
  </si>
  <si>
    <t>CVLA091</t>
  </si>
  <si>
    <t>MIG_7127</t>
  </si>
  <si>
    <t>IMG_7256</t>
  </si>
  <si>
    <t>hatchlings = 30 +90 + photo</t>
  </si>
  <si>
    <t>CPRE189</t>
  </si>
  <si>
    <t>CPRE202</t>
  </si>
  <si>
    <t>IMG_7147</t>
  </si>
  <si>
    <t>IMG_7259</t>
  </si>
  <si>
    <t>hatchlings = 30 + 90+photo + 1 + 16 (unhatched)</t>
  </si>
  <si>
    <t>CARL217</t>
  </si>
  <si>
    <t>CARL226</t>
  </si>
  <si>
    <t>IMG_7188</t>
  </si>
  <si>
    <t>IMG_7521</t>
  </si>
  <si>
    <t>hatchlings = 30 + 90 + 120 + photo + 8</t>
  </si>
  <si>
    <t>CARL241</t>
  </si>
  <si>
    <t>CARL239</t>
  </si>
  <si>
    <t>IMG_7195</t>
  </si>
  <si>
    <t>IMG_7597</t>
  </si>
  <si>
    <t>hatchlings = 30 + 90 + photo</t>
  </si>
  <si>
    <t>Cannot find body of deceased female CARL239</t>
  </si>
  <si>
    <t>CVLA089</t>
  </si>
  <si>
    <t>CVLA059</t>
  </si>
  <si>
    <t>IMG_7201</t>
  </si>
  <si>
    <t>IMG_7535</t>
  </si>
  <si>
    <t>hatchlings = 30 + 90 + photo + 24 (unhatched) + 4</t>
  </si>
  <si>
    <t>IMG_7520 also counted</t>
  </si>
  <si>
    <t>some color</t>
  </si>
  <si>
    <t>CARL354</t>
  </si>
  <si>
    <t>CARL355</t>
  </si>
  <si>
    <t>IMG_7225</t>
  </si>
  <si>
    <t>hatchlings = 75</t>
  </si>
  <si>
    <t>LCKM159</t>
  </si>
  <si>
    <t>LCKM155</t>
  </si>
  <si>
    <t>IMG_7230</t>
  </si>
  <si>
    <t>IMG_7614</t>
  </si>
  <si>
    <t>hatchlings = 30 + 120 +4 + photo</t>
  </si>
  <si>
    <t>CSUD016</t>
  </si>
  <si>
    <t>CSUD078</t>
  </si>
  <si>
    <t>IMG_7265</t>
  </si>
  <si>
    <t>hatchlings = 90 + 240 + 23 + 5 (unhatched) = 358</t>
  </si>
  <si>
    <t>IMG_7523</t>
  </si>
  <si>
    <t>IMG_7747</t>
  </si>
  <si>
    <t>hatchlings = 90 + 30 +180 +  photo</t>
  </si>
  <si>
    <t>CSUD009</t>
  </si>
  <si>
    <t>CSUD212</t>
  </si>
  <si>
    <t>IMG_7546</t>
  </si>
  <si>
    <t>IMG_7780</t>
  </si>
  <si>
    <t>hatchlings = 90 + 30 + photo</t>
  </si>
  <si>
    <t>CSUD002</t>
  </si>
  <si>
    <t>CSUD213</t>
  </si>
  <si>
    <t>IMG_7550</t>
  </si>
  <si>
    <t>IMG_7759</t>
  </si>
  <si>
    <t>hatchlings = 30 + photo</t>
  </si>
  <si>
    <t>LSBI028</t>
  </si>
  <si>
    <t>LSBI027</t>
  </si>
  <si>
    <t>St. Bee's Island</t>
  </si>
  <si>
    <t>IMG_7604</t>
  </si>
  <si>
    <t>IMG_7798</t>
  </si>
  <si>
    <t>hatchlings = 30 + 120 +photo</t>
  </si>
  <si>
    <t>CPRE375</t>
  </si>
  <si>
    <t>CPRE377</t>
  </si>
  <si>
    <t>IMG_7624</t>
  </si>
  <si>
    <t>IMG_7883</t>
  </si>
  <si>
    <t>hatchlings = 30 + 90 + 4 (unhatched) + photo</t>
  </si>
  <si>
    <t>IMG_7635</t>
  </si>
  <si>
    <t>IMG_7878</t>
  </si>
  <si>
    <t>hatchlings = 30 + 90 + 3 (unhatched) + photo</t>
  </si>
  <si>
    <t>IMG_7651</t>
  </si>
  <si>
    <t>IMG_7833</t>
  </si>
  <si>
    <t xml:space="preserve">hatchlings = 30 + 90 + photo  </t>
  </si>
  <si>
    <t>IMG_7655</t>
  </si>
  <si>
    <t>IMG_7870</t>
  </si>
  <si>
    <t xml:space="preserve">hatchlings = 30 + 120 + 14 (unhatched) + photo </t>
  </si>
  <si>
    <t>CSUD310</t>
  </si>
  <si>
    <t>CSUD306</t>
  </si>
  <si>
    <t>IMG_7663</t>
  </si>
  <si>
    <t>hatchlings = NA most hatchlings were eaten</t>
  </si>
  <si>
    <t>IMG_7682</t>
  </si>
  <si>
    <t>IMG_7855</t>
  </si>
  <si>
    <t>LSBI042</t>
  </si>
  <si>
    <t>LSBI030</t>
  </si>
  <si>
    <t>N</t>
  </si>
  <si>
    <t>pair ate all the eggs :(</t>
  </si>
  <si>
    <t>IMG_7697</t>
  </si>
  <si>
    <t>LSBI023</t>
  </si>
  <si>
    <t>LCHA118</t>
  </si>
  <si>
    <t>Chauvel Reef/St. Bee's Island</t>
  </si>
  <si>
    <t>IMG_7703</t>
  </si>
  <si>
    <t>IMG_7928</t>
  </si>
  <si>
    <t>hatchlings = 30 + 120 + 26 (unhatched)</t>
  </si>
  <si>
    <t>LSBI034</t>
  </si>
  <si>
    <t>LCHA120</t>
  </si>
  <si>
    <t>IMG_7713</t>
  </si>
  <si>
    <t>IMG_7931</t>
  </si>
  <si>
    <t>hatchlings = 30 + 120 + 3 (unhatched) + 11 + 2</t>
  </si>
  <si>
    <t>IMG_7782</t>
  </si>
  <si>
    <t>IMG_8060</t>
  </si>
  <si>
    <t>hatchlings = 30 + 90+ photo</t>
  </si>
  <si>
    <t>IMG_7802</t>
  </si>
  <si>
    <t>hatchlings = 30 + 120? (find out how many replicates yogi has) + 1 + 13 (unhatched) + 11</t>
  </si>
  <si>
    <t>IMG_8088</t>
  </si>
  <si>
    <t>hatchlings = 30 + 90 +photo</t>
  </si>
  <si>
    <t>poor picture quailty; use picutre from another clutch if possible</t>
  </si>
  <si>
    <t>IMG_7890</t>
  </si>
  <si>
    <t>IMG_8107</t>
  </si>
  <si>
    <t xml:space="preserve">hatclings = 30 + 90 + photo </t>
  </si>
  <si>
    <t>Eggs were last checked on the 20/01/2022. 31/01/2022 would have been the first day they would have laid eggs, being just 10 days after the previous clutch hatched. Eggs were all white with no sign of color. Confident that the eggs were laid on 31/01/2023.</t>
  </si>
  <si>
    <t>IMG_7899</t>
  </si>
  <si>
    <t>IMG_8168</t>
  </si>
  <si>
    <t>CARL230</t>
  </si>
  <si>
    <t>CARL235</t>
  </si>
  <si>
    <t>IMG_7942</t>
  </si>
  <si>
    <t>IMG_8449</t>
  </si>
  <si>
    <t xml:space="preserve">hatchlings = 30 + 90 + photo </t>
  </si>
  <si>
    <t>COTT407</t>
  </si>
  <si>
    <t>COTT399</t>
  </si>
  <si>
    <t>Otter Reef</t>
  </si>
  <si>
    <t>IMG_7945</t>
  </si>
  <si>
    <t xml:space="preserve">hatchlings = 30 + 120 + 2 </t>
  </si>
  <si>
    <t>IMG_7963</t>
  </si>
  <si>
    <t xml:space="preserve">hatchlings = photo </t>
  </si>
  <si>
    <t>CARL233</t>
  </si>
  <si>
    <t>CARL215</t>
  </si>
  <si>
    <t>IMG_7967</t>
  </si>
  <si>
    <t>IMG_8458</t>
  </si>
  <si>
    <t>IMG_7976</t>
  </si>
  <si>
    <t>IMG_8488</t>
  </si>
  <si>
    <t>hatchlings = 30 + 90 +photo + 3</t>
  </si>
  <si>
    <t>CPRE391</t>
  </si>
  <si>
    <t>CPRE390</t>
  </si>
  <si>
    <t>IMG_8064</t>
  </si>
  <si>
    <t>IMG_8507</t>
  </si>
  <si>
    <t>hatchlings = 30 + 90 + photo + photo (unhatched) +  4</t>
  </si>
  <si>
    <t>CRUS426</t>
  </si>
  <si>
    <t>CRUS360</t>
  </si>
  <si>
    <t>Russel Island</t>
  </si>
  <si>
    <t>IMG_8072</t>
  </si>
  <si>
    <t>IMG_8511</t>
  </si>
  <si>
    <t xml:space="preserve">hatchlings = 30 + 120 + photo (hatched) + photo (unhatched) </t>
  </si>
  <si>
    <t>CSUD312</t>
  </si>
  <si>
    <t>CSUD304</t>
  </si>
  <si>
    <t>IMG_8094</t>
  </si>
  <si>
    <t xml:space="preserve">hatchlings = 30 + 90 +4 (no photo) </t>
  </si>
  <si>
    <t>hathclings = 30 + 120 + photo + 1</t>
  </si>
  <si>
    <t>forgot to take off blue flagging tape, never saw eggs just hatchlings when they came out</t>
  </si>
  <si>
    <t>CSAT265</t>
  </si>
  <si>
    <t>CSAT264</t>
  </si>
  <si>
    <t>Satellite Reef</t>
  </si>
  <si>
    <t>IMG_8115</t>
  </si>
  <si>
    <t>IMG_8543</t>
  </si>
  <si>
    <t>IMG_8129</t>
  </si>
  <si>
    <t>IMG_8578</t>
  </si>
  <si>
    <t>hatchlings = photo</t>
  </si>
  <si>
    <t>IMG_8132</t>
  </si>
  <si>
    <t>hatchlings = 30 + 240 + 90 + 38(unhatched) + 38 + no photo</t>
  </si>
  <si>
    <t>IMG_8151</t>
  </si>
  <si>
    <t>IMG_8683</t>
  </si>
  <si>
    <t>CPRE512</t>
  </si>
  <si>
    <t>CPRE208</t>
  </si>
  <si>
    <t>IMG_8155</t>
  </si>
  <si>
    <t>IMG_8547</t>
  </si>
  <si>
    <t xml:space="preserve">hatchlings = 30 + 80 + photo </t>
  </si>
  <si>
    <t>CPRE/CSUD098</t>
  </si>
  <si>
    <t>CPRE373</t>
  </si>
  <si>
    <t>IMG_8175</t>
  </si>
  <si>
    <t>IMG_8557</t>
  </si>
  <si>
    <t xml:space="preserve">hatchlings = 30 + 80 + 10 (unhatched) + photo </t>
  </si>
  <si>
    <t>CARL338</t>
  </si>
  <si>
    <t>CARL345</t>
  </si>
  <si>
    <t>IMG_8185</t>
  </si>
  <si>
    <t>IMG_8630</t>
  </si>
  <si>
    <t xml:space="preserve">hatchlings = 30 + 90 + 120 + photo  </t>
  </si>
  <si>
    <t>IMG_8189</t>
  </si>
  <si>
    <t>IMG_8644</t>
  </si>
  <si>
    <t>photo rather poor, hard to see all the hatchlings</t>
  </si>
  <si>
    <t>IMG_8424</t>
  </si>
  <si>
    <t>IMG_8632</t>
  </si>
  <si>
    <t xml:space="preserve">hatchlings =  </t>
  </si>
  <si>
    <t>No notes recorded for hatchlings</t>
  </si>
  <si>
    <t>CARL335</t>
  </si>
  <si>
    <t>CARL359</t>
  </si>
  <si>
    <t>IMG_8427</t>
  </si>
  <si>
    <t>IMG_8648</t>
  </si>
  <si>
    <t xml:space="preserve">hatchlings =30 + 90 + 120 + photo +19 </t>
  </si>
  <si>
    <t>CARL360</t>
  </si>
  <si>
    <t>CARL249</t>
  </si>
  <si>
    <t>IMG_8470</t>
  </si>
  <si>
    <t xml:space="preserve">hatchlings = 30 + 90 + 15 + 8 (unhatched) </t>
  </si>
  <si>
    <t>IMG_8473</t>
  </si>
  <si>
    <t>IMG_8717</t>
  </si>
  <si>
    <t xml:space="preserve">hatchlings = 30 +120 +4 (unhatched) + photo </t>
  </si>
  <si>
    <t>IMG_8519</t>
  </si>
  <si>
    <t xml:space="preserve">hatchlings = 30 + 120 + photo (unhathced) </t>
  </si>
  <si>
    <t>IMG_8529</t>
  </si>
  <si>
    <t>IMG_8753</t>
  </si>
  <si>
    <t>CPRE447</t>
  </si>
  <si>
    <t>CPRE452</t>
  </si>
  <si>
    <t>IMG_8562</t>
  </si>
  <si>
    <t>IMG_8768</t>
  </si>
  <si>
    <t>IMG_8566</t>
  </si>
  <si>
    <t>IMG_8790</t>
  </si>
  <si>
    <t>IMG_8568</t>
  </si>
  <si>
    <t>IMG_8795</t>
  </si>
  <si>
    <t xml:space="preserve">hatchlings = 30 + photo </t>
  </si>
  <si>
    <t>CPRE521</t>
  </si>
  <si>
    <t>CPRE524</t>
  </si>
  <si>
    <t>IMG_8609</t>
  </si>
  <si>
    <t>IMG_8804</t>
  </si>
  <si>
    <t xml:space="preserve">hatchlings = 30 + 90 +120 + 80  photo </t>
  </si>
  <si>
    <t>CARL369</t>
  </si>
  <si>
    <t>CARL349</t>
  </si>
  <si>
    <t>IMG_8615</t>
  </si>
  <si>
    <t>IMG_8806</t>
  </si>
  <si>
    <t xml:space="preserve">hatchlings = 30 + 90 + 120 +80 + photo </t>
  </si>
  <si>
    <t>CARL367</t>
  </si>
  <si>
    <t>CARL363</t>
  </si>
  <si>
    <t>IMG_8626</t>
  </si>
  <si>
    <t xml:space="preserve">hatchlings = 30 + 30  + photo </t>
  </si>
  <si>
    <t>Looks like clutch may have been partially eaten…?; could not find photo</t>
  </si>
  <si>
    <t>CPRE453</t>
  </si>
  <si>
    <t>CPRE459</t>
  </si>
  <si>
    <t>IMG_8712</t>
  </si>
  <si>
    <t>IMG_8828</t>
  </si>
  <si>
    <t xml:space="preserve">hatchlings = 30 + 90 +120 + 240 + photo </t>
  </si>
  <si>
    <t>CVLA468</t>
  </si>
  <si>
    <t>CVLA477</t>
  </si>
  <si>
    <t>IMG_8742</t>
  </si>
  <si>
    <t>IMG_8882</t>
  </si>
  <si>
    <t>IMG_8751</t>
  </si>
  <si>
    <t xml:space="preserve">hatchlings = 90 + 22 + 2 + 33 (unhatched) + no photo </t>
  </si>
  <si>
    <t>CPRE558</t>
  </si>
  <si>
    <t>CPRE526</t>
  </si>
  <si>
    <t>IMG_8763</t>
  </si>
  <si>
    <t>IMG_8897</t>
  </si>
  <si>
    <t xml:space="preserve">hatchlings = 30 + 80 + photo + 2 (unhatched) </t>
  </si>
  <si>
    <t>IMG_8786</t>
  </si>
  <si>
    <t xml:space="preserve">hatchlings = NA  (eaten) </t>
  </si>
  <si>
    <t>IMG_8811</t>
  </si>
  <si>
    <t xml:space="preserve">hatchlings = NA (eaten) </t>
  </si>
  <si>
    <t>CVLA102</t>
  </si>
  <si>
    <t>CVLA466</t>
  </si>
  <si>
    <t>IMG_8814</t>
  </si>
  <si>
    <t>IMG_8971</t>
  </si>
  <si>
    <t>hatchlings = 30 + 90 + photo (not in tank) + 4 OR photo (in tank)</t>
  </si>
  <si>
    <t>CVLA498</t>
  </si>
  <si>
    <t>CVLA493</t>
  </si>
  <si>
    <t>IMG_8820</t>
  </si>
  <si>
    <t>IMG_8943</t>
  </si>
  <si>
    <t>hatchlings = 30 + 90 +photo + 7 (unhatched)</t>
  </si>
  <si>
    <t>black</t>
  </si>
  <si>
    <t>Eggs already black when found, forgot to take flagging tape off after 10 dph previous clutch</t>
  </si>
  <si>
    <t>IMG_8873</t>
  </si>
  <si>
    <t>hatchlings = 240 + 28 + no photo</t>
  </si>
  <si>
    <t>CPRE550</t>
  </si>
  <si>
    <t>CPRE533</t>
  </si>
  <si>
    <t>IMG_8888</t>
  </si>
  <si>
    <t>IMG_9032</t>
  </si>
  <si>
    <t>hatchlings= 30 + 120 +90 +photo</t>
  </si>
  <si>
    <t>CARL242</t>
  </si>
  <si>
    <t>CARL245</t>
  </si>
  <si>
    <t>IMG_8921</t>
  </si>
  <si>
    <t>eaten</t>
  </si>
  <si>
    <t>IMG_8932</t>
  </si>
  <si>
    <t>IMG_9116</t>
  </si>
  <si>
    <t>IMG_8937</t>
  </si>
  <si>
    <t>IMG_9105</t>
  </si>
  <si>
    <t>hatchlings = 13 (unhatched) + photo</t>
  </si>
  <si>
    <t>IMG_8976</t>
  </si>
  <si>
    <t xml:space="preserve">hatchlings = 90 + 8 (no photo) </t>
  </si>
  <si>
    <t>IMG_8995</t>
  </si>
  <si>
    <t>eaten; was this clutch under a heatwave treatment</t>
  </si>
  <si>
    <t>IMG_9015</t>
  </si>
  <si>
    <t>hatchlings = 21 (unhatched) + 30 + 30 + 14</t>
  </si>
  <si>
    <t>CVLA044</t>
  </si>
  <si>
    <t>IMG_9020</t>
  </si>
  <si>
    <t>No male in tank</t>
  </si>
  <si>
    <t>IMG_9059</t>
  </si>
  <si>
    <t>IMG_9138</t>
  </si>
  <si>
    <t>hatchlings = 30 + 120 + photo (live)</t>
  </si>
  <si>
    <t>CVLA486</t>
  </si>
  <si>
    <t>CVLA463</t>
  </si>
  <si>
    <t>IMG_9113</t>
  </si>
  <si>
    <t>IMG_9159</t>
  </si>
  <si>
    <t>hatchlings = 30 + 90 + 31 (unhatched) + photo</t>
  </si>
  <si>
    <t>IMG_9124</t>
  </si>
  <si>
    <t>IMG_9170</t>
  </si>
  <si>
    <t>not a good picture</t>
  </si>
  <si>
    <t>IMG_9132</t>
  </si>
  <si>
    <t>IMG_9161</t>
  </si>
  <si>
    <t>IMG_9143</t>
  </si>
  <si>
    <t>IMG_9185</t>
  </si>
  <si>
    <t>IMG_9149</t>
  </si>
  <si>
    <t>hatchlings = 30 + 30 + 80 + 18 + 43 (unhatched) + no photo</t>
  </si>
  <si>
    <t>IMG_9174</t>
  </si>
  <si>
    <t>IMG_9228</t>
  </si>
  <si>
    <t>CVLA406</t>
  </si>
  <si>
    <t>IMG_9189</t>
  </si>
  <si>
    <t>IMG_9393</t>
  </si>
  <si>
    <t>CPRE555</t>
  </si>
  <si>
    <t>CSUD999</t>
  </si>
  <si>
    <t>Satellite Reef/Pretty Patches</t>
  </si>
  <si>
    <t>IMG_9218</t>
  </si>
  <si>
    <t>IMG_9416</t>
  </si>
  <si>
    <t xml:space="preserve">hatchlings = 30 + 240 + photo + 11(unhatched) </t>
  </si>
  <si>
    <t>IMG_9424</t>
  </si>
  <si>
    <t>IMG_9478</t>
  </si>
  <si>
    <t xml:space="preserve">hatchlings = 30 + 240 + photo  </t>
  </si>
  <si>
    <t>IMG_9428</t>
  </si>
  <si>
    <t>IMG_9488</t>
  </si>
  <si>
    <t>hatchlings = photo + 10 + 30</t>
  </si>
  <si>
    <t>photo for eggs taken after eggs were sampled</t>
  </si>
  <si>
    <t>CSAT269</t>
  </si>
  <si>
    <t>CSAT256</t>
  </si>
  <si>
    <t>IMG_9434</t>
  </si>
  <si>
    <t>IMG_9505</t>
  </si>
  <si>
    <t xml:space="preserve">hatchlings = 30 + 80 + 7 + photo (alive) </t>
  </si>
  <si>
    <t>IMG_9464</t>
  </si>
  <si>
    <t>hatchlings = 78</t>
  </si>
  <si>
    <t>CPRE556</t>
  </si>
  <si>
    <t>Sudbury Reef/Pretty Patches</t>
  </si>
  <si>
    <t>IMG_9482</t>
  </si>
  <si>
    <t>hatchlings = 30 + 80 + photo</t>
  </si>
  <si>
    <t>cannot find photo for hatchlings for this clutch</t>
  </si>
  <si>
    <t>CPRE547</t>
  </si>
  <si>
    <t>CPRE522</t>
  </si>
  <si>
    <t>IMG_9494</t>
  </si>
  <si>
    <t>IMG_9524</t>
  </si>
  <si>
    <t>hatchlings = 30 + 240 + 3 + photo</t>
  </si>
  <si>
    <t>CPRE544</t>
  </si>
  <si>
    <t>CVLA485</t>
  </si>
  <si>
    <t>Pretty Patches/Vlassof Cay</t>
  </si>
  <si>
    <t>IMG_9500</t>
  </si>
  <si>
    <t>IMG_9527</t>
  </si>
  <si>
    <t>hatchlings = 30 + 8 + photo</t>
  </si>
  <si>
    <t>CVLA495</t>
  </si>
  <si>
    <t>CVLA497</t>
  </si>
  <si>
    <t>hatchlings = no information recorded</t>
  </si>
  <si>
    <t>no photos of eggs</t>
  </si>
  <si>
    <t>CCKT590</t>
  </si>
  <si>
    <t>CCKT493</t>
  </si>
  <si>
    <t>Cooktown</t>
  </si>
  <si>
    <t>IMG_9520</t>
  </si>
  <si>
    <t>PROJECT_CODE:</t>
  </si>
  <si>
    <t>0 - none; 1 - heritability; 2 - latitudinal; 3 - hertiability and latitudinal; 4 - yogi; 5 - heritability and yogi; 6 latitudinal and yogi; 7 - 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</si>
</sst>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00"/>
  </numFmts>
  <fonts count="4" x14ac:knownFonts="1">
    <font>
      <sz val="11"/>
      <color theme="1"/>
      <name val="Calibri"/>
      <family val="2"/>
      <scheme val="minor"/>
    </font>
    <font>
      <sz val="11"/>
      <color rgb="FF9C0006"/>
      <name val="Calibri"/>
      <family val="2"/>
      <scheme val="minor"/>
    </font>
    <font>
      <sz val="11"/>
      <color rgb="FF9C5700"/>
      <name val="Calibri"/>
      <family val="2"/>
      <scheme val="minor"/>
    </font>
    <font>
      <sz val="8"/>
      <name val="Calibri"/>
      <family val="2"/>
      <scheme val="minor"/>
    </font>
  </fonts>
  <fills count="6">
    <fill>
      <patternFill patternType="none"/>
    </fill>
    <fill>
      <patternFill patternType="gray125"/>
    </fill>
    <fill>
      <patternFill patternType="solid">
        <fgColor rgb="FFFFC7CE"/>
      </patternFill>
    </fill>
    <fill>
      <patternFill patternType="solid">
        <fgColor rgb="FFFFEB9C"/>
      </patternFill>
    </fill>
    <fill>
      <patternFill patternType="solid">
        <fgColor theme="7" tint="0.59999389629810485"/>
        <bgColor indexed="64"/>
      </patternFill>
    </fill>
    <fill>
      <patternFill patternType="solid">
        <fgColor rgb="FFFF99FF"/>
        <bgColor indexed="64"/>
      </patternFill>
    </fill>
  </fills>
  <borders count="1">
    <border>
      <left/>
      <right/>
      <top/>
      <bottom/>
      <diagonal/>
    </border>
  </borders>
  <cellStyleXfs count="3">
    <xf numFmtId="0" fontId="0" fillId="0" borderId="0"/>
    <xf numFmtId="0" fontId="1" fillId="2" borderId="0" applyNumberFormat="0" applyBorder="0" applyAlignment="0" applyProtection="0"/>
    <xf numFmtId="0" fontId="2" fillId="3" borderId="0" applyNumberFormat="0" applyBorder="0" applyAlignment="0" applyProtection="0"/>
  </cellStyleXfs>
  <cellXfs count="22">
    <xf numFmtId="0" fontId="0" fillId="0" borderId="0" xfId="0"/>
    <xf numFmtId="14" fontId="0" fillId="0" borderId="0" xfId="0" applyNumberFormat="1"/>
    <xf numFmtId="1" fontId="0" fillId="0" borderId="0" xfId="0" applyNumberFormat="1"/>
    <xf numFmtId="14" fontId="0" fillId="0" borderId="0" xfId="0" applyNumberFormat="1" applyAlignment="1">
      <alignment horizontal="right"/>
    </xf>
    <xf numFmtId="0" fontId="1" fillId="2" borderId="0" xfId="1"/>
    <xf numFmtId="14" fontId="1" fillId="2" borderId="0" xfId="1" applyNumberFormat="1"/>
    <xf numFmtId="0" fontId="2" fillId="3" borderId="0" xfId="2"/>
    <xf numFmtId="14" fontId="2" fillId="3" borderId="0" xfId="2" applyNumberFormat="1"/>
    <xf numFmtId="1" fontId="2" fillId="3" borderId="0" xfId="2" applyNumberFormat="1"/>
    <xf numFmtId="0" fontId="0" fillId="4" borderId="0" xfId="0" applyFill="1"/>
    <xf numFmtId="0" fontId="2" fillId="0" borderId="0" xfId="2" applyFill="1"/>
    <xf numFmtId="1" fontId="1" fillId="2" borderId="0" xfId="1" applyNumberFormat="1"/>
    <xf numFmtId="164" fontId="0" fillId="0" borderId="0" xfId="0" applyNumberFormat="1"/>
    <xf numFmtId="164" fontId="2" fillId="3" borderId="0" xfId="2" applyNumberFormat="1"/>
    <xf numFmtId="2" fontId="0" fillId="0" borderId="0" xfId="0" applyNumberFormat="1"/>
    <xf numFmtId="2" fontId="2" fillId="3" borderId="0" xfId="2" applyNumberFormat="1"/>
    <xf numFmtId="2" fontId="1" fillId="2" borderId="0" xfId="1" applyNumberFormat="1"/>
    <xf numFmtId="165" fontId="0" fillId="0" borderId="0" xfId="0" applyNumberFormat="1"/>
    <xf numFmtId="165" fontId="2" fillId="3" borderId="0" xfId="2" applyNumberFormat="1"/>
    <xf numFmtId="165" fontId="1" fillId="2" borderId="0" xfId="1" applyNumberFormat="1"/>
    <xf numFmtId="164" fontId="0" fillId="5" borderId="0" xfId="0" applyNumberFormat="1" applyFill="1"/>
    <xf numFmtId="0" fontId="0" fillId="5" borderId="0" xfId="0" applyFill="1"/>
  </cellXfs>
  <cellStyles count="3">
    <cellStyle name="Bad" xfId="1" builtinId="27"/>
    <cellStyle name="Neutral" xfId="2" builtinId="28"/>
    <cellStyle name="Normal" xfId="0" builtinId="0"/>
  </cellStyles>
  <dxfs count="0"/>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B5B51-F4EA-4B73-AAF7-7EBABADEFB32}">
  <dimension ref="A1:AO100"/>
  <sheetViews>
    <sheetView tabSelected="1" zoomScale="80" zoomScaleNormal="80" workbookViewId="0">
      <selection activeCell="A16" sqref="A16:XFD16"/>
    </sheetView>
  </sheetViews>
  <sheetFormatPr defaultRowHeight="14.5" x14ac:dyDescent="0.35"/>
  <cols>
    <col min="1" max="1" width="4.81640625" customWidth="1"/>
    <col min="2" max="2" width="13.81640625" style="1" customWidth="1"/>
    <col min="3" max="3" width="14.26953125" customWidth="1"/>
    <col min="4" max="4" width="13.453125" customWidth="1"/>
    <col min="5" max="5" width="12.81640625" customWidth="1"/>
    <col min="6" max="6" width="19.7265625" customWidth="1"/>
    <col min="7" max="7" width="23.1796875" customWidth="1"/>
    <col min="8" max="8" width="8" style="14" customWidth="1"/>
    <col min="9" max="10" width="9" style="14" customWidth="1"/>
    <col min="11" max="11" width="9.7265625" style="14" customWidth="1"/>
    <col min="12" max="12" width="11.26953125" style="17" customWidth="1"/>
    <col min="13" max="13" width="12" style="17" customWidth="1"/>
    <col min="14" max="14" width="10.453125" customWidth="1"/>
    <col min="15" max="15" width="13.1796875" customWidth="1"/>
    <col min="16" max="16" width="14.54296875" customWidth="1"/>
    <col min="17" max="17" width="14.26953125" style="2" customWidth="1"/>
    <col min="18" max="18" width="14" customWidth="1"/>
    <col min="19" max="19" width="16.7265625" customWidth="1"/>
    <col min="20" max="21" width="21" customWidth="1"/>
    <col min="22" max="22" width="9.54296875" customWidth="1"/>
    <col min="23" max="23" width="12.7265625" customWidth="1"/>
    <col min="24" max="24" width="14.453125" style="2" customWidth="1"/>
    <col min="25" max="25" width="23.54296875" customWidth="1"/>
    <col min="26" max="27" width="13.26953125" customWidth="1"/>
    <col min="28" max="28" width="18.7265625" customWidth="1"/>
    <col min="29" max="30" width="16" customWidth="1"/>
    <col min="31" max="31" width="24.81640625" customWidth="1"/>
    <col min="32" max="32" width="23.54296875" customWidth="1"/>
    <col min="33" max="33" width="22.1796875" customWidth="1"/>
    <col min="34" max="34" width="22.26953125" customWidth="1"/>
    <col min="35" max="37" width="23.81640625" customWidth="1"/>
    <col min="38" max="38" width="18.81640625" style="12" customWidth="1"/>
    <col min="39" max="39" width="18.81640625" customWidth="1"/>
    <col min="40" max="40" width="44.7265625" customWidth="1"/>
  </cols>
  <sheetData>
    <row r="1" spans="1:41" x14ac:dyDescent="0.35">
      <c r="A1" t="s">
        <v>0</v>
      </c>
      <c r="B1" s="1" t="s">
        <v>1</v>
      </c>
      <c r="C1" t="s">
        <v>2</v>
      </c>
      <c r="D1" t="s">
        <v>3</v>
      </c>
      <c r="E1" t="s">
        <v>4</v>
      </c>
      <c r="F1" t="s">
        <v>5</v>
      </c>
      <c r="G1" t="s">
        <v>6</v>
      </c>
      <c r="H1" s="14" t="s">
        <v>7</v>
      </c>
      <c r="I1" s="14" t="s">
        <v>8</v>
      </c>
      <c r="J1" s="14" t="s">
        <v>9</v>
      </c>
      <c r="K1" s="14" t="s">
        <v>10</v>
      </c>
      <c r="L1" s="17" t="s">
        <v>11</v>
      </c>
      <c r="M1" s="17" t="s">
        <v>12</v>
      </c>
      <c r="N1" t="s">
        <v>13</v>
      </c>
      <c r="O1" t="s">
        <v>14</v>
      </c>
      <c r="P1" t="s">
        <v>15</v>
      </c>
      <c r="Q1" s="2" t="s">
        <v>16</v>
      </c>
      <c r="R1" t="s">
        <v>17</v>
      </c>
      <c r="S1" t="s">
        <v>18</v>
      </c>
      <c r="T1" t="s">
        <v>19</v>
      </c>
      <c r="U1" t="s">
        <v>20</v>
      </c>
      <c r="V1" t="s">
        <v>21</v>
      </c>
      <c r="W1" t="s">
        <v>22</v>
      </c>
      <c r="X1" s="2" t="s">
        <v>23</v>
      </c>
      <c r="Y1" t="s">
        <v>24</v>
      </c>
      <c r="Z1" t="s">
        <v>25</v>
      </c>
      <c r="AA1" t="s">
        <v>26</v>
      </c>
      <c r="AB1" t="s">
        <v>27</v>
      </c>
      <c r="AC1" t="s">
        <v>28</v>
      </c>
      <c r="AD1" t="s">
        <v>29</v>
      </c>
      <c r="AE1" t="s">
        <v>30</v>
      </c>
      <c r="AF1" t="s">
        <v>31</v>
      </c>
      <c r="AG1" t="s">
        <v>32</v>
      </c>
      <c r="AH1" t="s">
        <v>33</v>
      </c>
      <c r="AI1" t="s">
        <v>34</v>
      </c>
      <c r="AJ1" t="s">
        <v>35</v>
      </c>
      <c r="AK1" t="s">
        <v>36</v>
      </c>
      <c r="AL1" s="12" t="s">
        <v>37</v>
      </c>
      <c r="AM1" t="s">
        <v>38</v>
      </c>
      <c r="AN1" t="s">
        <v>39</v>
      </c>
      <c r="AO1" t="s">
        <v>40</v>
      </c>
    </row>
    <row r="2" spans="1:41" x14ac:dyDescent="0.35">
      <c r="A2">
        <v>38</v>
      </c>
      <c r="B2" s="3" t="s">
        <v>41</v>
      </c>
      <c r="C2" t="s">
        <v>42</v>
      </c>
      <c r="D2" t="s">
        <v>43</v>
      </c>
      <c r="E2" t="s">
        <v>44</v>
      </c>
      <c r="F2" t="s">
        <v>45</v>
      </c>
      <c r="G2" t="s">
        <v>46</v>
      </c>
      <c r="H2" s="14">
        <v>102.3</v>
      </c>
      <c r="I2" s="14">
        <v>58.01</v>
      </c>
      <c r="J2" s="14">
        <v>102.4</v>
      </c>
      <c r="K2" s="14">
        <v>52.7</v>
      </c>
      <c r="L2" s="17">
        <v>-16.622</v>
      </c>
      <c r="M2" s="17">
        <v>146.04230000000001</v>
      </c>
      <c r="N2" s="17">
        <v>-16.622</v>
      </c>
      <c r="O2" s="17">
        <v>146.04230000000001</v>
      </c>
      <c r="P2">
        <v>27</v>
      </c>
      <c r="Q2" s="2">
        <v>168</v>
      </c>
      <c r="R2">
        <v>3</v>
      </c>
      <c r="S2">
        <v>1</v>
      </c>
      <c r="T2">
        <v>29</v>
      </c>
      <c r="U2" t="s">
        <v>47</v>
      </c>
      <c r="V2" t="s">
        <v>48</v>
      </c>
      <c r="W2" s="1">
        <v>44912</v>
      </c>
      <c r="X2" s="2">
        <v>11</v>
      </c>
      <c r="Y2">
        <v>0</v>
      </c>
      <c r="Z2">
        <v>432</v>
      </c>
      <c r="AA2" t="s">
        <v>49</v>
      </c>
      <c r="AB2" t="s">
        <v>50</v>
      </c>
      <c r="AC2" s="1">
        <v>44922</v>
      </c>
      <c r="AD2" t="s">
        <v>47</v>
      </c>
      <c r="AE2" t="s">
        <v>51</v>
      </c>
      <c r="AF2">
        <v>284</v>
      </c>
      <c r="AG2">
        <v>0</v>
      </c>
      <c r="AH2">
        <v>0</v>
      </c>
      <c r="AI2">
        <v>25</v>
      </c>
      <c r="AJ2">
        <v>0</v>
      </c>
      <c r="AK2">
        <f t="shared" ref="AK2:AK24" si="0">SUM(AF2:AJ2)</f>
        <v>309</v>
      </c>
      <c r="AL2" s="12">
        <f t="shared" ref="AL2:AL24" si="1">AK2/(Z2 - X2 - Y2)</f>
        <v>0.73396674584323041</v>
      </c>
      <c r="AM2">
        <v>1</v>
      </c>
      <c r="AN2" t="s">
        <v>52</v>
      </c>
    </row>
    <row r="3" spans="1:41" x14ac:dyDescent="0.35">
      <c r="A3">
        <v>40</v>
      </c>
      <c r="B3" s="3" t="s">
        <v>41</v>
      </c>
      <c r="C3" t="s">
        <v>53</v>
      </c>
      <c r="D3" t="s">
        <v>54</v>
      </c>
      <c r="E3" t="s">
        <v>55</v>
      </c>
      <c r="F3" t="s">
        <v>45</v>
      </c>
      <c r="G3" t="s">
        <v>56</v>
      </c>
      <c r="H3" s="14">
        <v>91.5</v>
      </c>
      <c r="I3" s="14">
        <v>36.700000000000003</v>
      </c>
      <c r="J3" s="14">
        <v>86.5</v>
      </c>
      <c r="K3" s="14">
        <v>31.03</v>
      </c>
      <c r="L3">
        <v>-16.702000000000002</v>
      </c>
      <c r="M3" s="17">
        <v>145.98599999999999</v>
      </c>
      <c r="N3">
        <v>-16.702000000000002</v>
      </c>
      <c r="O3" s="17">
        <v>145.98599999999999</v>
      </c>
      <c r="P3">
        <v>27</v>
      </c>
      <c r="Q3" s="2">
        <v>247</v>
      </c>
      <c r="R3">
        <v>3</v>
      </c>
      <c r="S3">
        <v>1</v>
      </c>
      <c r="T3">
        <v>29</v>
      </c>
      <c r="U3" t="s">
        <v>47</v>
      </c>
      <c r="V3" t="s">
        <v>48</v>
      </c>
      <c r="W3" s="1">
        <v>44912</v>
      </c>
      <c r="X3" s="2">
        <v>11</v>
      </c>
      <c r="Y3">
        <v>1</v>
      </c>
      <c r="Z3">
        <v>390</v>
      </c>
      <c r="AA3" t="s">
        <v>49</v>
      </c>
      <c r="AB3" t="s">
        <v>57</v>
      </c>
      <c r="AC3" s="1">
        <v>44920</v>
      </c>
      <c r="AD3" t="s">
        <v>47</v>
      </c>
      <c r="AE3" t="s">
        <v>58</v>
      </c>
      <c r="AF3">
        <v>244</v>
      </c>
      <c r="AG3">
        <v>31</v>
      </c>
      <c r="AH3">
        <v>0</v>
      </c>
      <c r="AI3">
        <v>4</v>
      </c>
      <c r="AJ3">
        <v>0</v>
      </c>
      <c r="AK3">
        <f t="shared" si="0"/>
        <v>279</v>
      </c>
      <c r="AL3" s="12">
        <f t="shared" si="1"/>
        <v>0.73809523809523814</v>
      </c>
      <c r="AM3">
        <v>1</v>
      </c>
      <c r="AN3" t="s">
        <v>59</v>
      </c>
    </row>
    <row r="4" spans="1:41" x14ac:dyDescent="0.35">
      <c r="A4">
        <v>46</v>
      </c>
      <c r="B4" s="3">
        <v>44912</v>
      </c>
      <c r="C4" t="s">
        <v>42</v>
      </c>
      <c r="D4" t="s">
        <v>60</v>
      </c>
      <c r="E4" t="s">
        <v>61</v>
      </c>
      <c r="F4" t="s">
        <v>62</v>
      </c>
      <c r="G4" t="s">
        <v>63</v>
      </c>
      <c r="H4" s="14">
        <v>102.82</v>
      </c>
      <c r="I4" s="14">
        <v>54.16</v>
      </c>
      <c r="J4" s="14">
        <v>88.02</v>
      </c>
      <c r="K4" s="14">
        <v>33.47</v>
      </c>
      <c r="L4" s="17">
        <v>-20.771999999999998</v>
      </c>
      <c r="M4" s="17">
        <v>149.398</v>
      </c>
      <c r="N4" s="17">
        <v>-20.771999999999998</v>
      </c>
      <c r="O4" s="17">
        <v>149.398</v>
      </c>
      <c r="P4">
        <v>28.5</v>
      </c>
      <c r="Q4" s="2">
        <v>242</v>
      </c>
      <c r="R4">
        <v>3</v>
      </c>
      <c r="S4">
        <v>1</v>
      </c>
      <c r="T4">
        <v>30</v>
      </c>
      <c r="U4" s="1">
        <v>44911</v>
      </c>
      <c r="V4" t="s">
        <v>48</v>
      </c>
      <c r="W4" s="1">
        <v>44912</v>
      </c>
      <c r="X4" s="2">
        <v>11</v>
      </c>
      <c r="Y4">
        <v>0</v>
      </c>
      <c r="Z4">
        <v>332</v>
      </c>
      <c r="AA4" t="s">
        <v>49</v>
      </c>
      <c r="AB4" t="s">
        <v>64</v>
      </c>
      <c r="AC4" s="1">
        <v>44923</v>
      </c>
      <c r="AD4">
        <f t="shared" ref="AD4:AD13" si="2">AC4-B4</f>
        <v>11</v>
      </c>
      <c r="AE4" t="s">
        <v>65</v>
      </c>
      <c r="AF4">
        <v>62</v>
      </c>
      <c r="AG4">
        <v>30</v>
      </c>
      <c r="AH4">
        <v>120</v>
      </c>
      <c r="AI4">
        <v>0</v>
      </c>
      <c r="AJ4">
        <v>2</v>
      </c>
      <c r="AK4">
        <f t="shared" si="0"/>
        <v>214</v>
      </c>
      <c r="AL4" s="12">
        <f t="shared" si="1"/>
        <v>0.66666666666666663</v>
      </c>
      <c r="AM4">
        <v>2</v>
      </c>
      <c r="AN4" t="s">
        <v>66</v>
      </c>
    </row>
    <row r="5" spans="1:41" x14ac:dyDescent="0.35">
      <c r="A5">
        <v>47</v>
      </c>
      <c r="B5" s="3">
        <v>44915</v>
      </c>
      <c r="C5" t="s">
        <v>42</v>
      </c>
      <c r="D5" t="s">
        <v>67</v>
      </c>
      <c r="E5" t="s">
        <v>68</v>
      </c>
      <c r="F5" t="s">
        <v>45</v>
      </c>
      <c r="G5" t="s">
        <v>56</v>
      </c>
      <c r="H5" s="14">
        <v>80.34</v>
      </c>
      <c r="I5" s="14">
        <v>23.91</v>
      </c>
      <c r="J5" s="14">
        <v>83.54</v>
      </c>
      <c r="K5" s="14">
        <v>29.23</v>
      </c>
      <c r="L5">
        <v>-16.702000000000002</v>
      </c>
      <c r="M5" s="17">
        <v>145.98599999999999</v>
      </c>
      <c r="N5">
        <v>-16.702000000000002</v>
      </c>
      <c r="O5" s="17">
        <v>145.98599999999999</v>
      </c>
      <c r="P5">
        <v>30</v>
      </c>
      <c r="Q5" s="2">
        <v>112</v>
      </c>
      <c r="R5">
        <v>3</v>
      </c>
      <c r="S5">
        <v>1</v>
      </c>
      <c r="T5">
        <v>32</v>
      </c>
      <c r="U5" s="1">
        <v>44914</v>
      </c>
      <c r="V5" t="s">
        <v>48</v>
      </c>
      <c r="W5" s="1">
        <v>44915</v>
      </c>
      <c r="X5" s="2">
        <v>13</v>
      </c>
      <c r="Y5">
        <v>0</v>
      </c>
      <c r="Z5">
        <v>580</v>
      </c>
      <c r="AA5" t="s">
        <v>49</v>
      </c>
      <c r="AB5" t="s">
        <v>69</v>
      </c>
      <c r="AC5" s="1">
        <v>44924</v>
      </c>
      <c r="AD5">
        <f t="shared" si="2"/>
        <v>9</v>
      </c>
      <c r="AE5" t="s">
        <v>47</v>
      </c>
      <c r="AF5">
        <v>0</v>
      </c>
      <c r="AG5">
        <v>30</v>
      </c>
      <c r="AH5">
        <v>60</v>
      </c>
      <c r="AI5">
        <v>0</v>
      </c>
      <c r="AJ5">
        <v>0</v>
      </c>
      <c r="AK5">
        <f t="shared" si="0"/>
        <v>90</v>
      </c>
      <c r="AL5" s="12">
        <f t="shared" si="1"/>
        <v>0.15873015873015872</v>
      </c>
      <c r="AM5">
        <v>1</v>
      </c>
      <c r="AN5" t="s">
        <v>70</v>
      </c>
    </row>
    <row r="6" spans="1:41" x14ac:dyDescent="0.35">
      <c r="A6">
        <v>48</v>
      </c>
      <c r="B6" s="3">
        <v>44916</v>
      </c>
      <c r="C6" t="s">
        <v>42</v>
      </c>
      <c r="D6" t="s">
        <v>71</v>
      </c>
      <c r="E6" t="s">
        <v>72</v>
      </c>
      <c r="F6" t="s">
        <v>45</v>
      </c>
      <c r="G6" t="s">
        <v>73</v>
      </c>
      <c r="H6" s="14">
        <v>98.82</v>
      </c>
      <c r="I6" s="14">
        <v>52.14</v>
      </c>
      <c r="J6" s="14">
        <v>103.54</v>
      </c>
      <c r="K6" s="14">
        <v>58.3</v>
      </c>
      <c r="L6" s="17">
        <v>-16.995999999999999</v>
      </c>
      <c r="M6" s="17">
        <v>146.202</v>
      </c>
      <c r="N6" s="17">
        <v>-16.995999999999999</v>
      </c>
      <c r="O6" s="17">
        <v>146.202</v>
      </c>
      <c r="P6">
        <v>27</v>
      </c>
      <c r="Q6" s="2">
        <v>271</v>
      </c>
      <c r="R6">
        <v>3</v>
      </c>
      <c r="S6">
        <v>2</v>
      </c>
      <c r="T6">
        <v>33</v>
      </c>
      <c r="U6" s="1">
        <v>44915</v>
      </c>
      <c r="V6" t="s">
        <v>48</v>
      </c>
      <c r="W6" s="1">
        <v>44916</v>
      </c>
      <c r="X6" s="2">
        <v>10</v>
      </c>
      <c r="Y6">
        <v>0</v>
      </c>
      <c r="Z6">
        <v>608</v>
      </c>
      <c r="AA6" t="s">
        <v>49</v>
      </c>
      <c r="AB6" t="s">
        <v>74</v>
      </c>
      <c r="AC6" s="1">
        <v>44927</v>
      </c>
      <c r="AD6">
        <f t="shared" si="2"/>
        <v>11</v>
      </c>
      <c r="AE6" t="s">
        <v>75</v>
      </c>
      <c r="AF6">
        <v>347</v>
      </c>
      <c r="AG6">
        <v>30</v>
      </c>
      <c r="AH6">
        <v>90</v>
      </c>
      <c r="AI6">
        <v>25</v>
      </c>
      <c r="AJ6">
        <v>0</v>
      </c>
      <c r="AK6">
        <f t="shared" si="0"/>
        <v>492</v>
      </c>
      <c r="AL6" s="12">
        <f t="shared" si="1"/>
        <v>0.82274247491638797</v>
      </c>
      <c r="AM6">
        <v>1</v>
      </c>
      <c r="AN6" t="s">
        <v>76</v>
      </c>
    </row>
    <row r="7" spans="1:41" x14ac:dyDescent="0.35">
      <c r="A7">
        <v>49</v>
      </c>
      <c r="B7" s="1">
        <v>44917</v>
      </c>
      <c r="C7" t="s">
        <v>42</v>
      </c>
      <c r="D7" t="s">
        <v>77</v>
      </c>
      <c r="E7" t="s">
        <v>78</v>
      </c>
      <c r="F7" t="s">
        <v>45</v>
      </c>
      <c r="G7" t="s">
        <v>79</v>
      </c>
      <c r="H7" s="14">
        <v>90</v>
      </c>
      <c r="I7" s="14">
        <v>36.79</v>
      </c>
      <c r="J7" s="14">
        <v>96.32</v>
      </c>
      <c r="K7" s="14">
        <v>43.73</v>
      </c>
      <c r="L7" s="17">
        <v>-16.657</v>
      </c>
      <c r="M7" s="17">
        <v>145.99</v>
      </c>
      <c r="N7" s="17">
        <v>-16.657</v>
      </c>
      <c r="O7" s="17">
        <v>145.99</v>
      </c>
      <c r="P7">
        <v>28.5</v>
      </c>
      <c r="Q7" s="2">
        <v>137</v>
      </c>
      <c r="R7">
        <v>3</v>
      </c>
      <c r="S7">
        <v>3</v>
      </c>
      <c r="T7">
        <v>34</v>
      </c>
      <c r="U7" s="1">
        <v>44916</v>
      </c>
      <c r="V7" t="s">
        <v>48</v>
      </c>
      <c r="W7" s="1">
        <v>44916</v>
      </c>
      <c r="X7" s="2">
        <v>10</v>
      </c>
      <c r="Y7">
        <v>0</v>
      </c>
      <c r="Z7">
        <v>548</v>
      </c>
      <c r="AA7" t="s">
        <v>49</v>
      </c>
      <c r="AB7" t="s">
        <v>80</v>
      </c>
      <c r="AC7" s="1">
        <v>44926</v>
      </c>
      <c r="AD7">
        <f t="shared" si="2"/>
        <v>9</v>
      </c>
      <c r="AE7" t="s">
        <v>81</v>
      </c>
      <c r="AF7">
        <v>123</v>
      </c>
      <c r="AG7">
        <v>30</v>
      </c>
      <c r="AH7">
        <v>330</v>
      </c>
      <c r="AI7">
        <v>0</v>
      </c>
      <c r="AJ7">
        <v>2</v>
      </c>
      <c r="AK7">
        <f t="shared" si="0"/>
        <v>485</v>
      </c>
      <c r="AL7" s="12">
        <f t="shared" si="1"/>
        <v>0.9014869888475836</v>
      </c>
      <c r="AM7">
        <v>5</v>
      </c>
      <c r="AN7" t="s">
        <v>82</v>
      </c>
    </row>
    <row r="8" spans="1:41" x14ac:dyDescent="0.35">
      <c r="A8">
        <v>51</v>
      </c>
      <c r="B8" s="1">
        <v>44919</v>
      </c>
      <c r="C8" t="s">
        <v>42</v>
      </c>
      <c r="D8" t="s">
        <v>83</v>
      </c>
      <c r="E8" t="s">
        <v>84</v>
      </c>
      <c r="F8" t="s">
        <v>45</v>
      </c>
      <c r="G8" t="s">
        <v>56</v>
      </c>
      <c r="H8" s="14">
        <v>93.41</v>
      </c>
      <c r="I8" s="14">
        <v>41.41</v>
      </c>
      <c r="J8" s="14">
        <v>94.34</v>
      </c>
      <c r="K8" s="14">
        <v>38.92</v>
      </c>
      <c r="L8">
        <v>-16.702000000000002</v>
      </c>
      <c r="M8" s="17">
        <v>145.98599999999999</v>
      </c>
      <c r="N8">
        <v>-16.702000000000002</v>
      </c>
      <c r="O8" s="17">
        <v>145.98599999999999</v>
      </c>
      <c r="P8">
        <v>30</v>
      </c>
      <c r="Q8" s="2">
        <v>109</v>
      </c>
      <c r="R8">
        <v>3</v>
      </c>
      <c r="S8">
        <v>2</v>
      </c>
      <c r="T8">
        <v>36</v>
      </c>
      <c r="U8" s="1">
        <v>44918</v>
      </c>
      <c r="V8" t="s">
        <v>48</v>
      </c>
      <c r="W8" s="1">
        <v>44919</v>
      </c>
      <c r="X8" s="2">
        <v>10</v>
      </c>
      <c r="Y8">
        <v>2</v>
      </c>
      <c r="Z8">
        <v>524</v>
      </c>
      <c r="AA8" t="s">
        <v>49</v>
      </c>
      <c r="AB8" t="s">
        <v>85</v>
      </c>
      <c r="AC8" s="1">
        <v>44928</v>
      </c>
      <c r="AD8">
        <f t="shared" si="2"/>
        <v>9</v>
      </c>
      <c r="AE8" t="s">
        <v>86</v>
      </c>
      <c r="AF8">
        <v>350</v>
      </c>
      <c r="AG8">
        <v>30</v>
      </c>
      <c r="AH8">
        <v>90</v>
      </c>
      <c r="AI8">
        <v>25</v>
      </c>
      <c r="AJ8">
        <v>0</v>
      </c>
      <c r="AK8">
        <f t="shared" si="0"/>
        <v>495</v>
      </c>
      <c r="AL8" s="12">
        <f t="shared" si="1"/>
        <v>0.966796875</v>
      </c>
      <c r="AM8">
        <v>1</v>
      </c>
      <c r="AN8" t="s">
        <v>87</v>
      </c>
    </row>
    <row r="9" spans="1:41" x14ac:dyDescent="0.35">
      <c r="A9">
        <v>54</v>
      </c>
      <c r="B9" s="1">
        <v>44926</v>
      </c>
      <c r="C9" t="s">
        <v>42</v>
      </c>
      <c r="D9" t="s">
        <v>88</v>
      </c>
      <c r="E9" t="s">
        <v>89</v>
      </c>
      <c r="F9" t="s">
        <v>45</v>
      </c>
      <c r="G9" t="s">
        <v>79</v>
      </c>
      <c r="H9" s="14">
        <v>91.88</v>
      </c>
      <c r="I9" s="14">
        <v>36.33</v>
      </c>
      <c r="J9" s="14">
        <v>98.46</v>
      </c>
      <c r="K9" s="14">
        <v>48.79</v>
      </c>
      <c r="L9" s="17">
        <v>-16.657</v>
      </c>
      <c r="M9" s="17">
        <v>145.99</v>
      </c>
      <c r="N9" s="17">
        <v>-16.657</v>
      </c>
      <c r="O9" s="17">
        <v>145.99</v>
      </c>
      <c r="P9">
        <v>30</v>
      </c>
      <c r="Q9" s="2">
        <v>105</v>
      </c>
      <c r="R9">
        <v>3</v>
      </c>
      <c r="S9">
        <v>3</v>
      </c>
      <c r="T9">
        <v>43</v>
      </c>
      <c r="U9" s="1">
        <v>44925</v>
      </c>
      <c r="V9" t="s">
        <v>48</v>
      </c>
      <c r="W9" s="1">
        <v>44926</v>
      </c>
      <c r="X9" s="2">
        <v>10</v>
      </c>
      <c r="Y9">
        <v>0</v>
      </c>
      <c r="Z9">
        <v>495</v>
      </c>
      <c r="AA9" t="s">
        <v>49</v>
      </c>
      <c r="AB9" t="s">
        <v>90</v>
      </c>
      <c r="AC9" s="1">
        <v>44935</v>
      </c>
      <c r="AD9">
        <f t="shared" si="2"/>
        <v>9</v>
      </c>
      <c r="AE9" t="s">
        <v>91</v>
      </c>
      <c r="AF9">
        <v>335</v>
      </c>
      <c r="AG9">
        <v>30</v>
      </c>
      <c r="AH9">
        <v>90</v>
      </c>
      <c r="AI9">
        <v>0</v>
      </c>
      <c r="AJ9">
        <v>0</v>
      </c>
      <c r="AK9">
        <f t="shared" si="0"/>
        <v>455</v>
      </c>
      <c r="AL9" s="12">
        <f t="shared" si="1"/>
        <v>0.93814432989690721</v>
      </c>
      <c r="AM9">
        <v>1</v>
      </c>
      <c r="AN9" t="s">
        <v>92</v>
      </c>
    </row>
    <row r="10" spans="1:41" x14ac:dyDescent="0.35">
      <c r="A10">
        <v>55</v>
      </c>
      <c r="B10" s="1">
        <v>44927</v>
      </c>
      <c r="C10" t="s">
        <v>42</v>
      </c>
      <c r="D10" t="s">
        <v>93</v>
      </c>
      <c r="E10" t="s">
        <v>94</v>
      </c>
      <c r="F10" t="s">
        <v>45</v>
      </c>
      <c r="G10" t="s">
        <v>46</v>
      </c>
      <c r="H10" s="14">
        <v>98.74</v>
      </c>
      <c r="I10" s="14">
        <v>57.31</v>
      </c>
      <c r="J10" s="14">
        <v>99.6</v>
      </c>
      <c r="K10" s="14">
        <v>47.19</v>
      </c>
      <c r="L10" s="17">
        <v>-16.622</v>
      </c>
      <c r="M10" s="17">
        <v>146.04230000000001</v>
      </c>
      <c r="N10" s="17">
        <v>-16.622</v>
      </c>
      <c r="O10" s="17">
        <v>146.04230000000001</v>
      </c>
      <c r="P10">
        <v>30</v>
      </c>
      <c r="Q10" s="2">
        <v>208</v>
      </c>
      <c r="R10">
        <v>3</v>
      </c>
      <c r="S10">
        <v>2</v>
      </c>
      <c r="T10">
        <v>44</v>
      </c>
      <c r="U10" s="1">
        <v>44926</v>
      </c>
      <c r="V10" t="s">
        <v>48</v>
      </c>
      <c r="W10" s="1">
        <v>44927</v>
      </c>
      <c r="X10" s="2">
        <v>11</v>
      </c>
      <c r="Y10">
        <v>0</v>
      </c>
      <c r="Z10">
        <v>408</v>
      </c>
      <c r="AA10" t="s">
        <v>49</v>
      </c>
      <c r="AB10" t="s">
        <v>95</v>
      </c>
      <c r="AC10" s="1">
        <v>44937</v>
      </c>
      <c r="AD10">
        <f t="shared" si="2"/>
        <v>10</v>
      </c>
      <c r="AE10" t="s">
        <v>96</v>
      </c>
      <c r="AF10">
        <v>129</v>
      </c>
      <c r="AG10">
        <v>30</v>
      </c>
      <c r="AH10">
        <v>90</v>
      </c>
      <c r="AI10">
        <v>16</v>
      </c>
      <c r="AJ10">
        <v>1</v>
      </c>
      <c r="AK10">
        <f t="shared" si="0"/>
        <v>266</v>
      </c>
      <c r="AL10" s="12">
        <f t="shared" si="1"/>
        <v>0.67002518891687657</v>
      </c>
      <c r="AM10">
        <v>1</v>
      </c>
      <c r="AN10" t="s">
        <v>97</v>
      </c>
    </row>
    <row r="11" spans="1:41" x14ac:dyDescent="0.35">
      <c r="A11">
        <v>56</v>
      </c>
      <c r="B11" s="1">
        <v>44930</v>
      </c>
      <c r="C11" t="s">
        <v>42</v>
      </c>
      <c r="D11" t="s">
        <v>98</v>
      </c>
      <c r="E11" t="s">
        <v>99</v>
      </c>
      <c r="F11" t="s">
        <v>45</v>
      </c>
      <c r="G11" t="s">
        <v>56</v>
      </c>
      <c r="H11" s="14">
        <v>78.400000000000006</v>
      </c>
      <c r="I11" s="14">
        <v>23.15</v>
      </c>
      <c r="J11" s="14">
        <v>72.47</v>
      </c>
      <c r="K11" s="14">
        <v>16.28</v>
      </c>
      <c r="L11">
        <v>-16.702000000000002</v>
      </c>
      <c r="M11" s="17">
        <v>145.98599999999999</v>
      </c>
      <c r="N11">
        <v>-16.702000000000002</v>
      </c>
      <c r="O11" s="17">
        <v>145.98599999999999</v>
      </c>
      <c r="P11">
        <v>28.5</v>
      </c>
      <c r="Q11" s="2">
        <v>144</v>
      </c>
      <c r="R11">
        <v>3</v>
      </c>
      <c r="S11">
        <v>2</v>
      </c>
      <c r="T11">
        <v>47</v>
      </c>
      <c r="U11" s="1">
        <v>44929</v>
      </c>
      <c r="V11" t="s">
        <v>48</v>
      </c>
      <c r="W11" s="1">
        <v>44930</v>
      </c>
      <c r="X11" s="2">
        <v>11</v>
      </c>
      <c r="Y11">
        <v>0</v>
      </c>
      <c r="Z11">
        <v>328</v>
      </c>
      <c r="AA11" t="s">
        <v>49</v>
      </c>
      <c r="AB11" t="s">
        <v>100</v>
      </c>
      <c r="AC11" s="1">
        <v>44938</v>
      </c>
      <c r="AD11">
        <f t="shared" si="2"/>
        <v>8</v>
      </c>
      <c r="AE11" t="s">
        <v>101</v>
      </c>
      <c r="AF11">
        <v>51</v>
      </c>
      <c r="AG11">
        <v>30</v>
      </c>
      <c r="AH11">
        <v>210</v>
      </c>
      <c r="AI11">
        <v>0</v>
      </c>
      <c r="AJ11">
        <v>8</v>
      </c>
      <c r="AK11">
        <f t="shared" si="0"/>
        <v>299</v>
      </c>
      <c r="AL11" s="12">
        <f t="shared" si="1"/>
        <v>0.94321766561514198</v>
      </c>
      <c r="AM11">
        <v>3</v>
      </c>
      <c r="AN11" t="s">
        <v>102</v>
      </c>
    </row>
    <row r="12" spans="1:41" x14ac:dyDescent="0.35">
      <c r="A12">
        <v>57</v>
      </c>
      <c r="B12" s="1">
        <v>44931</v>
      </c>
      <c r="C12" t="s">
        <v>42</v>
      </c>
      <c r="D12" t="s">
        <v>103</v>
      </c>
      <c r="E12" t="s">
        <v>104</v>
      </c>
      <c r="F12" t="s">
        <v>45</v>
      </c>
      <c r="G12" t="s">
        <v>56</v>
      </c>
      <c r="H12" s="14">
        <v>97.4</v>
      </c>
      <c r="I12" s="14">
        <v>45.17</v>
      </c>
      <c r="J12" s="14" t="s">
        <v>47</v>
      </c>
      <c r="K12" s="14" t="s">
        <v>47</v>
      </c>
      <c r="L12">
        <v>-16.702000000000002</v>
      </c>
      <c r="M12" s="17">
        <v>145.98599999999999</v>
      </c>
      <c r="N12">
        <v>-16.702000000000002</v>
      </c>
      <c r="O12" s="17">
        <v>145.98599999999999</v>
      </c>
      <c r="P12">
        <v>27</v>
      </c>
      <c r="Q12" s="2">
        <v>150</v>
      </c>
      <c r="R12">
        <v>3</v>
      </c>
      <c r="S12">
        <v>2</v>
      </c>
      <c r="T12">
        <v>48</v>
      </c>
      <c r="U12" s="1">
        <v>44930</v>
      </c>
      <c r="V12" t="s">
        <v>48</v>
      </c>
      <c r="W12" s="1">
        <v>44931</v>
      </c>
      <c r="X12" s="2">
        <v>10</v>
      </c>
      <c r="Y12">
        <v>2</v>
      </c>
      <c r="Z12">
        <v>515</v>
      </c>
      <c r="AA12" t="s">
        <v>49</v>
      </c>
      <c r="AB12" t="s">
        <v>105</v>
      </c>
      <c r="AC12" s="1">
        <v>44942</v>
      </c>
      <c r="AD12">
        <f t="shared" si="2"/>
        <v>11</v>
      </c>
      <c r="AE12" t="s">
        <v>106</v>
      </c>
      <c r="AF12">
        <v>236</v>
      </c>
      <c r="AG12">
        <v>30</v>
      </c>
      <c r="AH12">
        <v>90</v>
      </c>
      <c r="AI12">
        <v>0</v>
      </c>
      <c r="AJ12">
        <v>0</v>
      </c>
      <c r="AK12">
        <f t="shared" si="0"/>
        <v>356</v>
      </c>
      <c r="AL12" s="12">
        <f t="shared" si="1"/>
        <v>0.70775347912524855</v>
      </c>
      <c r="AM12">
        <v>1</v>
      </c>
      <c r="AN12" t="s">
        <v>107</v>
      </c>
      <c r="AO12" t="s">
        <v>108</v>
      </c>
    </row>
    <row r="13" spans="1:41" x14ac:dyDescent="0.35">
      <c r="A13">
        <v>58</v>
      </c>
      <c r="B13" s="1">
        <v>44931</v>
      </c>
      <c r="C13" t="s">
        <v>42</v>
      </c>
      <c r="D13" t="s">
        <v>109</v>
      </c>
      <c r="E13" t="s">
        <v>110</v>
      </c>
      <c r="F13" t="s">
        <v>45</v>
      </c>
      <c r="G13" t="s">
        <v>79</v>
      </c>
      <c r="H13" s="14">
        <v>87.22</v>
      </c>
      <c r="I13" s="14">
        <v>31.58</v>
      </c>
      <c r="J13" s="14">
        <v>98.68</v>
      </c>
      <c r="K13" s="14">
        <v>51.72</v>
      </c>
      <c r="L13" s="17">
        <v>-16.657</v>
      </c>
      <c r="M13" s="17">
        <v>145.99</v>
      </c>
      <c r="N13" s="17">
        <v>-16.657</v>
      </c>
      <c r="O13" s="17">
        <v>145.99</v>
      </c>
      <c r="P13">
        <v>30</v>
      </c>
      <c r="Q13" s="2">
        <v>158</v>
      </c>
      <c r="R13">
        <v>3</v>
      </c>
      <c r="S13">
        <v>2</v>
      </c>
      <c r="T13">
        <v>48</v>
      </c>
      <c r="U13" s="1">
        <v>44930</v>
      </c>
      <c r="V13" t="s">
        <v>48</v>
      </c>
      <c r="W13" s="1">
        <v>44931</v>
      </c>
      <c r="X13" s="2">
        <v>11</v>
      </c>
      <c r="Y13">
        <v>1</v>
      </c>
      <c r="Z13">
        <v>482</v>
      </c>
      <c r="AA13" t="s">
        <v>49</v>
      </c>
      <c r="AB13" t="s">
        <v>111</v>
      </c>
      <c r="AC13" s="1">
        <v>44939</v>
      </c>
      <c r="AD13">
        <f t="shared" si="2"/>
        <v>8</v>
      </c>
      <c r="AE13" t="s">
        <v>112</v>
      </c>
      <c r="AF13">
        <v>201</v>
      </c>
      <c r="AG13">
        <v>30</v>
      </c>
      <c r="AH13">
        <v>90</v>
      </c>
      <c r="AI13">
        <v>24</v>
      </c>
      <c r="AJ13">
        <v>4</v>
      </c>
      <c r="AK13">
        <f t="shared" si="0"/>
        <v>349</v>
      </c>
      <c r="AL13" s="12">
        <f t="shared" si="1"/>
        <v>0.74255319148936172</v>
      </c>
      <c r="AM13">
        <v>1</v>
      </c>
      <c r="AN13" t="s">
        <v>113</v>
      </c>
      <c r="AO13" t="s">
        <v>114</v>
      </c>
    </row>
    <row r="14" spans="1:41" x14ac:dyDescent="0.35">
      <c r="A14">
        <v>59</v>
      </c>
      <c r="B14" s="1">
        <v>44933</v>
      </c>
      <c r="C14" t="s">
        <v>115</v>
      </c>
      <c r="D14" t="s">
        <v>116</v>
      </c>
      <c r="E14" t="s">
        <v>117</v>
      </c>
      <c r="F14" t="s">
        <v>45</v>
      </c>
      <c r="G14" t="s">
        <v>56</v>
      </c>
      <c r="H14" s="14">
        <v>87.22</v>
      </c>
      <c r="I14" s="14">
        <v>31.58</v>
      </c>
      <c r="J14" s="14">
        <v>84.76</v>
      </c>
      <c r="K14" s="14">
        <v>29.85</v>
      </c>
      <c r="L14">
        <v>-16.702000000000002</v>
      </c>
      <c r="M14" s="17">
        <v>145.98599999999999</v>
      </c>
      <c r="N14">
        <v>-16.702000000000002</v>
      </c>
      <c r="O14" s="17">
        <v>145.98599999999999</v>
      </c>
      <c r="P14">
        <v>27</v>
      </c>
      <c r="Q14" s="2">
        <v>124</v>
      </c>
      <c r="R14">
        <v>3</v>
      </c>
      <c r="S14">
        <v>2</v>
      </c>
      <c r="T14">
        <v>50</v>
      </c>
      <c r="U14" s="1">
        <v>44911</v>
      </c>
      <c r="V14" t="s">
        <v>48</v>
      </c>
      <c r="W14" s="1">
        <v>44933</v>
      </c>
      <c r="X14" s="2">
        <v>10</v>
      </c>
      <c r="Y14">
        <v>0</v>
      </c>
      <c r="Z14">
        <v>326</v>
      </c>
      <c r="AA14" t="s">
        <v>49</v>
      </c>
      <c r="AB14" t="s">
        <v>118</v>
      </c>
      <c r="AC14" s="1">
        <v>44943</v>
      </c>
      <c r="AD14" t="s">
        <v>47</v>
      </c>
      <c r="AE14" t="s">
        <v>47</v>
      </c>
      <c r="AF14">
        <v>0</v>
      </c>
      <c r="AG14">
        <v>30</v>
      </c>
      <c r="AH14">
        <v>45</v>
      </c>
      <c r="AI14">
        <v>0</v>
      </c>
      <c r="AJ14">
        <v>0</v>
      </c>
      <c r="AK14">
        <f t="shared" si="0"/>
        <v>75</v>
      </c>
      <c r="AL14" s="12">
        <f t="shared" si="1"/>
        <v>0.23734177215189872</v>
      </c>
      <c r="AM14">
        <v>1</v>
      </c>
      <c r="AN14" t="s">
        <v>119</v>
      </c>
    </row>
    <row r="15" spans="1:41" x14ac:dyDescent="0.35">
      <c r="A15">
        <v>60</v>
      </c>
      <c r="B15" s="1">
        <v>44933</v>
      </c>
      <c r="C15" t="s">
        <v>42</v>
      </c>
      <c r="D15" t="s">
        <v>120</v>
      </c>
      <c r="E15" t="s">
        <v>121</v>
      </c>
      <c r="F15" t="s">
        <v>62</v>
      </c>
      <c r="G15" t="s">
        <v>63</v>
      </c>
      <c r="H15" s="14">
        <v>87.56</v>
      </c>
      <c r="I15" s="14">
        <v>30.55</v>
      </c>
      <c r="J15" s="14">
        <v>86.58</v>
      </c>
      <c r="K15" s="14">
        <v>30.34</v>
      </c>
      <c r="L15" s="17">
        <v>-20.771999999999998</v>
      </c>
      <c r="M15" s="17">
        <v>149.398</v>
      </c>
      <c r="N15" s="17">
        <v>-20.771999999999998</v>
      </c>
      <c r="O15" s="17">
        <v>149.398</v>
      </c>
      <c r="P15">
        <v>28.5</v>
      </c>
      <c r="Q15" s="2">
        <v>237</v>
      </c>
      <c r="R15">
        <v>3</v>
      </c>
      <c r="S15">
        <v>2</v>
      </c>
      <c r="T15">
        <v>50</v>
      </c>
      <c r="U15" s="1">
        <v>44932</v>
      </c>
      <c r="V15" t="s">
        <v>48</v>
      </c>
      <c r="W15" s="1">
        <v>44933</v>
      </c>
      <c r="X15" s="2">
        <v>12</v>
      </c>
      <c r="Y15">
        <v>0</v>
      </c>
      <c r="Z15">
        <v>317</v>
      </c>
      <c r="AA15" t="s">
        <v>49</v>
      </c>
      <c r="AB15" t="s">
        <v>122</v>
      </c>
      <c r="AC15" s="1">
        <v>44943</v>
      </c>
      <c r="AD15">
        <f t="shared" ref="AD15:AD26" si="3">AC15-B15</f>
        <v>10</v>
      </c>
      <c r="AE15" t="s">
        <v>123</v>
      </c>
      <c r="AF15">
        <v>127</v>
      </c>
      <c r="AG15">
        <v>30</v>
      </c>
      <c r="AH15">
        <v>120</v>
      </c>
      <c r="AI15">
        <v>0</v>
      </c>
      <c r="AJ15">
        <v>4</v>
      </c>
      <c r="AK15">
        <f t="shared" si="0"/>
        <v>281</v>
      </c>
      <c r="AL15" s="12">
        <f t="shared" si="1"/>
        <v>0.92131147540983604</v>
      </c>
      <c r="AM15">
        <v>2</v>
      </c>
      <c r="AN15" t="s">
        <v>124</v>
      </c>
    </row>
    <row r="16" spans="1:41" x14ac:dyDescent="0.35">
      <c r="A16">
        <v>61</v>
      </c>
      <c r="B16" s="1">
        <v>44937</v>
      </c>
      <c r="C16" t="s">
        <v>42</v>
      </c>
      <c r="D16" t="s">
        <v>125</v>
      </c>
      <c r="E16" t="s">
        <v>126</v>
      </c>
      <c r="F16" t="s">
        <v>45</v>
      </c>
      <c r="G16" t="s">
        <v>73</v>
      </c>
      <c r="H16" s="14">
        <v>97.12</v>
      </c>
      <c r="I16" s="14">
        <v>45.99</v>
      </c>
      <c r="J16" s="14">
        <v>96.58</v>
      </c>
      <c r="K16" s="14">
        <v>43.93</v>
      </c>
      <c r="L16" s="17">
        <v>-16.995999999999999</v>
      </c>
      <c r="M16" s="17">
        <v>146.202</v>
      </c>
      <c r="N16" s="17">
        <v>-16.995999999999999</v>
      </c>
      <c r="O16" s="17">
        <v>146.202</v>
      </c>
      <c r="P16">
        <v>28.5</v>
      </c>
      <c r="Q16" s="2">
        <v>230</v>
      </c>
      <c r="R16">
        <v>3</v>
      </c>
      <c r="S16">
        <v>2</v>
      </c>
      <c r="T16">
        <v>54</v>
      </c>
      <c r="U16" s="1">
        <v>44936</v>
      </c>
      <c r="V16" t="s">
        <v>48</v>
      </c>
      <c r="W16" s="1">
        <v>44937</v>
      </c>
      <c r="X16" s="2">
        <v>10</v>
      </c>
      <c r="Y16">
        <v>0</v>
      </c>
      <c r="Z16">
        <v>421</v>
      </c>
      <c r="AA16" t="s">
        <v>49</v>
      </c>
      <c r="AB16" t="s">
        <v>127</v>
      </c>
      <c r="AC16" s="1">
        <v>44945</v>
      </c>
      <c r="AD16">
        <f t="shared" si="3"/>
        <v>8</v>
      </c>
      <c r="AE16" t="s">
        <v>47</v>
      </c>
      <c r="AF16">
        <v>0</v>
      </c>
      <c r="AG16">
        <v>23</v>
      </c>
      <c r="AH16">
        <v>330</v>
      </c>
      <c r="AI16">
        <v>5</v>
      </c>
      <c r="AJ16">
        <v>0</v>
      </c>
      <c r="AK16">
        <f t="shared" si="0"/>
        <v>358</v>
      </c>
      <c r="AL16" s="12">
        <f t="shared" si="1"/>
        <v>0.87104622871046233</v>
      </c>
      <c r="AM16">
        <v>5</v>
      </c>
      <c r="AN16" t="s">
        <v>128</v>
      </c>
    </row>
    <row r="17" spans="1:41" x14ac:dyDescent="0.35">
      <c r="A17">
        <v>62</v>
      </c>
      <c r="B17" s="1">
        <v>44939</v>
      </c>
      <c r="C17" t="s">
        <v>42</v>
      </c>
      <c r="D17" t="s">
        <v>77</v>
      </c>
      <c r="E17" t="s">
        <v>78</v>
      </c>
      <c r="F17" t="s">
        <v>45</v>
      </c>
      <c r="G17" t="s">
        <v>79</v>
      </c>
      <c r="H17" s="14">
        <v>90</v>
      </c>
      <c r="I17" s="14">
        <v>36.79</v>
      </c>
      <c r="J17" s="14">
        <v>96.32</v>
      </c>
      <c r="K17" s="14">
        <v>43.73</v>
      </c>
      <c r="L17" s="17">
        <v>-16.657</v>
      </c>
      <c r="M17" s="17">
        <v>145.99</v>
      </c>
      <c r="N17" s="17">
        <v>-16.657</v>
      </c>
      <c r="O17" s="17">
        <v>145.99</v>
      </c>
      <c r="P17">
        <v>28.5</v>
      </c>
      <c r="Q17" s="2">
        <v>137</v>
      </c>
      <c r="R17">
        <v>3</v>
      </c>
      <c r="S17">
        <v>4</v>
      </c>
      <c r="T17">
        <v>56</v>
      </c>
      <c r="U17" s="1">
        <v>44938</v>
      </c>
      <c r="V17" t="s">
        <v>48</v>
      </c>
      <c r="W17" s="1">
        <v>44939</v>
      </c>
      <c r="X17" s="2">
        <v>10</v>
      </c>
      <c r="Y17">
        <v>0</v>
      </c>
      <c r="Z17">
        <v>476</v>
      </c>
      <c r="AA17" t="s">
        <v>49</v>
      </c>
      <c r="AB17" t="s">
        <v>129</v>
      </c>
      <c r="AC17" s="1">
        <v>44949</v>
      </c>
      <c r="AD17">
        <f t="shared" si="3"/>
        <v>10</v>
      </c>
      <c r="AE17" t="s">
        <v>130</v>
      </c>
      <c r="AF17">
        <v>141</v>
      </c>
      <c r="AG17">
        <v>30</v>
      </c>
      <c r="AH17">
        <v>270</v>
      </c>
      <c r="AI17">
        <v>0</v>
      </c>
      <c r="AJ17">
        <v>0</v>
      </c>
      <c r="AK17">
        <f t="shared" si="0"/>
        <v>441</v>
      </c>
      <c r="AL17" s="12">
        <f t="shared" si="1"/>
        <v>0.94635193133047213</v>
      </c>
      <c r="AM17">
        <v>3</v>
      </c>
      <c r="AN17" t="s">
        <v>131</v>
      </c>
    </row>
    <row r="18" spans="1:41" x14ac:dyDescent="0.35">
      <c r="A18">
        <v>63</v>
      </c>
      <c r="B18" s="1">
        <v>44940</v>
      </c>
      <c r="C18" t="s">
        <v>42</v>
      </c>
      <c r="D18" t="s">
        <v>132</v>
      </c>
      <c r="E18" t="s">
        <v>133</v>
      </c>
      <c r="F18" t="s">
        <v>45</v>
      </c>
      <c r="G18" t="s">
        <v>73</v>
      </c>
      <c r="H18" s="14">
        <v>103</v>
      </c>
      <c r="I18" s="14">
        <v>50.94</v>
      </c>
      <c r="J18" s="14">
        <v>103.8</v>
      </c>
      <c r="K18" s="14">
        <v>49.03</v>
      </c>
      <c r="L18" s="17">
        <v>-16.995999999999999</v>
      </c>
      <c r="M18" s="17">
        <v>146.202</v>
      </c>
      <c r="N18" s="17">
        <v>-16.995999999999999</v>
      </c>
      <c r="O18" s="17">
        <v>146.202</v>
      </c>
      <c r="P18">
        <v>27</v>
      </c>
      <c r="Q18" s="2">
        <v>172</v>
      </c>
      <c r="R18">
        <v>3</v>
      </c>
      <c r="S18">
        <v>2</v>
      </c>
      <c r="T18">
        <v>57</v>
      </c>
      <c r="U18" s="1">
        <v>44939</v>
      </c>
      <c r="V18" t="s">
        <v>48</v>
      </c>
      <c r="W18" s="1">
        <v>44940</v>
      </c>
      <c r="X18" s="2">
        <v>11</v>
      </c>
      <c r="Y18">
        <v>0</v>
      </c>
      <c r="Z18">
        <v>493</v>
      </c>
      <c r="AA18" t="s">
        <v>49</v>
      </c>
      <c r="AB18" t="s">
        <v>134</v>
      </c>
      <c r="AC18" s="1">
        <v>44951</v>
      </c>
      <c r="AD18">
        <f t="shared" si="3"/>
        <v>11</v>
      </c>
      <c r="AE18" t="s">
        <v>135</v>
      </c>
      <c r="AF18">
        <v>238</v>
      </c>
      <c r="AG18">
        <v>30</v>
      </c>
      <c r="AH18">
        <v>90</v>
      </c>
      <c r="AI18">
        <v>0</v>
      </c>
      <c r="AJ18">
        <v>0</v>
      </c>
      <c r="AK18">
        <f t="shared" si="0"/>
        <v>358</v>
      </c>
      <c r="AL18" s="12">
        <f t="shared" si="1"/>
        <v>0.74273858921161828</v>
      </c>
      <c r="AM18">
        <v>1</v>
      </c>
      <c r="AN18" t="s">
        <v>136</v>
      </c>
    </row>
    <row r="19" spans="1:41" x14ac:dyDescent="0.35">
      <c r="A19">
        <v>64</v>
      </c>
      <c r="B19" s="1">
        <v>44940</v>
      </c>
      <c r="C19" t="s">
        <v>42</v>
      </c>
      <c r="D19" t="s">
        <v>137</v>
      </c>
      <c r="E19" t="s">
        <v>138</v>
      </c>
      <c r="F19" t="s">
        <v>45</v>
      </c>
      <c r="G19" t="s">
        <v>73</v>
      </c>
      <c r="H19" s="14">
        <v>100</v>
      </c>
      <c r="I19" s="14">
        <v>48.28</v>
      </c>
      <c r="J19" s="14">
        <v>93.42</v>
      </c>
      <c r="K19" s="14">
        <v>45.25</v>
      </c>
      <c r="L19" s="17">
        <v>-16.995999999999999</v>
      </c>
      <c r="M19" s="17">
        <v>146.202</v>
      </c>
      <c r="N19" s="17">
        <v>-16.995999999999999</v>
      </c>
      <c r="O19" s="17">
        <v>146.202</v>
      </c>
      <c r="P19">
        <v>28.5</v>
      </c>
      <c r="Q19" s="2">
        <v>65</v>
      </c>
      <c r="R19">
        <v>2</v>
      </c>
      <c r="S19">
        <v>1</v>
      </c>
      <c r="T19">
        <v>17</v>
      </c>
      <c r="U19" s="1">
        <v>44939</v>
      </c>
      <c r="V19" t="s">
        <v>48</v>
      </c>
      <c r="W19" s="1">
        <v>44940</v>
      </c>
      <c r="X19" s="2">
        <v>12</v>
      </c>
      <c r="Y19">
        <v>0</v>
      </c>
      <c r="Z19">
        <v>416</v>
      </c>
      <c r="AA19" t="s">
        <v>49</v>
      </c>
      <c r="AB19" t="s">
        <v>139</v>
      </c>
      <c r="AC19" s="1">
        <v>44951</v>
      </c>
      <c r="AD19">
        <f t="shared" si="3"/>
        <v>11</v>
      </c>
      <c r="AE19" t="s">
        <v>140</v>
      </c>
      <c r="AF19">
        <v>114</v>
      </c>
      <c r="AG19">
        <v>30</v>
      </c>
      <c r="AH19">
        <v>0</v>
      </c>
      <c r="AI19">
        <v>0</v>
      </c>
      <c r="AJ19">
        <v>0</v>
      </c>
      <c r="AK19">
        <f t="shared" si="0"/>
        <v>144</v>
      </c>
      <c r="AL19" s="12">
        <f t="shared" si="1"/>
        <v>0.35643564356435642</v>
      </c>
      <c r="AM19">
        <v>0</v>
      </c>
      <c r="AN19" t="s">
        <v>141</v>
      </c>
    </row>
    <row r="20" spans="1:41" x14ac:dyDescent="0.35">
      <c r="A20">
        <v>65</v>
      </c>
      <c r="B20" s="1">
        <v>44943</v>
      </c>
      <c r="C20" t="s">
        <v>42</v>
      </c>
      <c r="D20" t="s">
        <v>142</v>
      </c>
      <c r="E20" t="s">
        <v>143</v>
      </c>
      <c r="F20" t="s">
        <v>62</v>
      </c>
      <c r="G20" t="s">
        <v>144</v>
      </c>
      <c r="H20" s="14">
        <v>90</v>
      </c>
      <c r="I20" s="14">
        <v>33.61</v>
      </c>
      <c r="J20" s="14">
        <v>91.51</v>
      </c>
      <c r="K20" s="14" t="s">
        <v>47</v>
      </c>
      <c r="L20" s="17">
        <v>-20.927</v>
      </c>
      <c r="M20" s="17">
        <v>149.66249999999999</v>
      </c>
      <c r="N20" s="17">
        <v>-20.927</v>
      </c>
      <c r="O20" s="17">
        <v>149.66249999999999</v>
      </c>
      <c r="P20">
        <v>28.5</v>
      </c>
      <c r="Q20" s="2">
        <v>233</v>
      </c>
      <c r="R20">
        <v>3</v>
      </c>
      <c r="S20">
        <v>2</v>
      </c>
      <c r="T20">
        <v>60</v>
      </c>
      <c r="U20" s="1">
        <v>44942</v>
      </c>
      <c r="V20" t="s">
        <v>48</v>
      </c>
      <c r="W20" s="1">
        <v>44943</v>
      </c>
      <c r="X20" s="2">
        <v>10</v>
      </c>
      <c r="Y20">
        <v>0</v>
      </c>
      <c r="Z20">
        <v>321</v>
      </c>
      <c r="AA20" t="s">
        <v>49</v>
      </c>
      <c r="AB20" t="s">
        <v>145</v>
      </c>
      <c r="AC20" s="1">
        <v>44953</v>
      </c>
      <c r="AD20">
        <f t="shared" si="3"/>
        <v>10</v>
      </c>
      <c r="AE20" t="s">
        <v>146</v>
      </c>
      <c r="AF20">
        <v>130</v>
      </c>
      <c r="AG20">
        <v>30</v>
      </c>
      <c r="AH20">
        <v>120</v>
      </c>
      <c r="AI20">
        <v>0</v>
      </c>
      <c r="AJ20">
        <v>0</v>
      </c>
      <c r="AK20">
        <f t="shared" si="0"/>
        <v>280</v>
      </c>
      <c r="AL20" s="12">
        <f t="shared" si="1"/>
        <v>0.90032154340836013</v>
      </c>
      <c r="AM20">
        <v>2</v>
      </c>
      <c r="AN20" t="s">
        <v>147</v>
      </c>
    </row>
    <row r="21" spans="1:41" x14ac:dyDescent="0.35">
      <c r="A21">
        <v>66</v>
      </c>
      <c r="B21" s="1">
        <v>44945</v>
      </c>
      <c r="C21" t="s">
        <v>42</v>
      </c>
      <c r="D21" t="s">
        <v>148</v>
      </c>
      <c r="E21" t="s">
        <v>149</v>
      </c>
      <c r="F21" t="s">
        <v>45</v>
      </c>
      <c r="G21" t="s">
        <v>46</v>
      </c>
      <c r="H21" s="14">
        <v>102.52</v>
      </c>
      <c r="I21" s="14">
        <v>54.28</v>
      </c>
      <c r="J21" s="14">
        <v>101.42</v>
      </c>
      <c r="K21" s="14">
        <v>55.75</v>
      </c>
      <c r="L21" s="17">
        <v>-16.622</v>
      </c>
      <c r="M21" s="17">
        <v>146.04230000000001</v>
      </c>
      <c r="N21" s="17">
        <v>-16.622</v>
      </c>
      <c r="O21" s="17">
        <v>146.04230000000001</v>
      </c>
      <c r="P21">
        <v>27</v>
      </c>
      <c r="Q21" s="2">
        <v>268</v>
      </c>
      <c r="R21">
        <v>3</v>
      </c>
      <c r="S21">
        <v>1</v>
      </c>
      <c r="T21">
        <v>62</v>
      </c>
      <c r="U21" s="1">
        <v>44579</v>
      </c>
      <c r="V21" t="s">
        <v>48</v>
      </c>
      <c r="W21" s="1">
        <v>44945</v>
      </c>
      <c r="X21" s="2">
        <v>11</v>
      </c>
      <c r="Y21">
        <v>0</v>
      </c>
      <c r="Z21">
        <v>506</v>
      </c>
      <c r="AA21" t="s">
        <v>49</v>
      </c>
      <c r="AB21" t="s">
        <v>150</v>
      </c>
      <c r="AC21" s="1">
        <v>44956</v>
      </c>
      <c r="AD21">
        <f t="shared" si="3"/>
        <v>11</v>
      </c>
      <c r="AE21" t="s">
        <v>151</v>
      </c>
      <c r="AF21">
        <v>352</v>
      </c>
      <c r="AG21">
        <v>30</v>
      </c>
      <c r="AH21">
        <v>90</v>
      </c>
      <c r="AI21">
        <v>0</v>
      </c>
      <c r="AJ21">
        <v>4</v>
      </c>
      <c r="AK21">
        <f t="shared" si="0"/>
        <v>476</v>
      </c>
      <c r="AL21" s="12">
        <f t="shared" si="1"/>
        <v>0.96161616161616159</v>
      </c>
      <c r="AM21">
        <v>1</v>
      </c>
      <c r="AN21" t="s">
        <v>152</v>
      </c>
    </row>
    <row r="22" spans="1:41" x14ac:dyDescent="0.35">
      <c r="A22">
        <v>67</v>
      </c>
      <c r="B22" s="1">
        <v>44945</v>
      </c>
      <c r="C22" t="s">
        <v>42</v>
      </c>
      <c r="D22" t="s">
        <v>71</v>
      </c>
      <c r="E22" t="s">
        <v>72</v>
      </c>
      <c r="F22" t="s">
        <v>45</v>
      </c>
      <c r="G22" t="s">
        <v>73</v>
      </c>
      <c r="H22" s="14">
        <v>98.82</v>
      </c>
      <c r="I22" s="14">
        <v>52.14</v>
      </c>
      <c r="J22" s="14">
        <v>103.54</v>
      </c>
      <c r="K22" s="14">
        <v>58.3</v>
      </c>
      <c r="L22" s="17">
        <v>-16.995999999999999</v>
      </c>
      <c r="M22" s="17">
        <v>146.202</v>
      </c>
      <c r="N22" s="17">
        <v>-16.995999999999999</v>
      </c>
      <c r="O22" s="17">
        <v>146.202</v>
      </c>
      <c r="P22">
        <v>27</v>
      </c>
      <c r="Q22" s="2">
        <v>271</v>
      </c>
      <c r="R22">
        <v>3</v>
      </c>
      <c r="S22">
        <v>3</v>
      </c>
      <c r="T22">
        <v>62</v>
      </c>
      <c r="U22" s="1">
        <v>44579</v>
      </c>
      <c r="V22" t="s">
        <v>48</v>
      </c>
      <c r="W22" s="1">
        <v>44945</v>
      </c>
      <c r="X22" s="2">
        <v>12</v>
      </c>
      <c r="Y22">
        <v>0</v>
      </c>
      <c r="Z22">
        <v>689</v>
      </c>
      <c r="AA22" t="s">
        <v>49</v>
      </c>
      <c r="AB22" t="s">
        <v>153</v>
      </c>
      <c r="AC22" s="1">
        <v>44956</v>
      </c>
      <c r="AD22">
        <f t="shared" si="3"/>
        <v>11</v>
      </c>
      <c r="AE22" t="s">
        <v>154</v>
      </c>
      <c r="AF22">
        <v>435</v>
      </c>
      <c r="AG22">
        <v>30</v>
      </c>
      <c r="AH22">
        <v>90</v>
      </c>
      <c r="AI22">
        <v>3</v>
      </c>
      <c r="AJ22">
        <v>0</v>
      </c>
      <c r="AK22">
        <f t="shared" si="0"/>
        <v>558</v>
      </c>
      <c r="AL22" s="12">
        <f t="shared" si="1"/>
        <v>0.82422451994091583</v>
      </c>
      <c r="AM22">
        <v>1</v>
      </c>
      <c r="AN22" t="s">
        <v>155</v>
      </c>
    </row>
    <row r="23" spans="1:41" x14ac:dyDescent="0.35">
      <c r="A23">
        <v>68</v>
      </c>
      <c r="B23" s="1">
        <v>44946</v>
      </c>
      <c r="C23" t="s">
        <v>42</v>
      </c>
      <c r="D23" t="s">
        <v>83</v>
      </c>
      <c r="E23" t="s">
        <v>84</v>
      </c>
      <c r="F23" t="s">
        <v>45</v>
      </c>
      <c r="G23" t="s">
        <v>56</v>
      </c>
      <c r="H23" s="14">
        <v>93.41</v>
      </c>
      <c r="I23" s="14">
        <v>41.41</v>
      </c>
      <c r="J23" s="14">
        <v>94.34</v>
      </c>
      <c r="K23" s="14">
        <v>38.92</v>
      </c>
      <c r="L23">
        <v>-16.702000000000002</v>
      </c>
      <c r="M23" s="17">
        <v>145.98599999999999</v>
      </c>
      <c r="N23">
        <v>-16.702000000000002</v>
      </c>
      <c r="O23" s="17">
        <v>145.98599999999999</v>
      </c>
      <c r="P23">
        <v>30</v>
      </c>
      <c r="Q23" s="2">
        <v>109</v>
      </c>
      <c r="R23">
        <v>3</v>
      </c>
      <c r="S23">
        <v>3</v>
      </c>
      <c r="T23">
        <v>63</v>
      </c>
      <c r="U23" s="1">
        <v>44945</v>
      </c>
      <c r="V23" t="s">
        <v>48</v>
      </c>
      <c r="W23" s="1">
        <v>44946</v>
      </c>
      <c r="X23" s="2">
        <v>10</v>
      </c>
      <c r="Y23">
        <v>2</v>
      </c>
      <c r="Z23">
        <v>503</v>
      </c>
      <c r="AA23" t="s">
        <v>49</v>
      </c>
      <c r="AB23" t="s">
        <v>156</v>
      </c>
      <c r="AC23" s="1">
        <v>44955</v>
      </c>
      <c r="AD23">
        <f t="shared" si="3"/>
        <v>9</v>
      </c>
      <c r="AE23" t="s">
        <v>157</v>
      </c>
      <c r="AF23">
        <v>269</v>
      </c>
      <c r="AG23">
        <v>30</v>
      </c>
      <c r="AH23">
        <v>90</v>
      </c>
      <c r="AI23">
        <v>0</v>
      </c>
      <c r="AJ23">
        <v>0</v>
      </c>
      <c r="AK23">
        <f t="shared" si="0"/>
        <v>389</v>
      </c>
      <c r="AL23" s="12">
        <f t="shared" si="1"/>
        <v>0.79226069246435848</v>
      </c>
      <c r="AM23">
        <v>1</v>
      </c>
      <c r="AN23" t="s">
        <v>158</v>
      </c>
    </row>
    <row r="24" spans="1:41" x14ac:dyDescent="0.35">
      <c r="A24">
        <v>69</v>
      </c>
      <c r="B24" s="1">
        <v>44946</v>
      </c>
      <c r="C24" t="s">
        <v>42</v>
      </c>
      <c r="D24" t="s">
        <v>60</v>
      </c>
      <c r="E24" t="s">
        <v>61</v>
      </c>
      <c r="F24" t="s">
        <v>62</v>
      </c>
      <c r="G24" t="s">
        <v>63</v>
      </c>
      <c r="H24" s="14">
        <v>102.82</v>
      </c>
      <c r="I24" s="14">
        <v>54.16</v>
      </c>
      <c r="J24" s="14">
        <v>88.02</v>
      </c>
      <c r="K24" s="14">
        <v>33.47</v>
      </c>
      <c r="L24" s="17">
        <v>-20.771999999999998</v>
      </c>
      <c r="M24" s="17">
        <v>149.398</v>
      </c>
      <c r="N24" s="17">
        <v>-20.771999999999998</v>
      </c>
      <c r="O24" s="17">
        <v>149.398</v>
      </c>
      <c r="P24">
        <v>28.5</v>
      </c>
      <c r="Q24" s="2">
        <v>242</v>
      </c>
      <c r="R24">
        <v>3</v>
      </c>
      <c r="S24">
        <v>2</v>
      </c>
      <c r="T24">
        <v>63</v>
      </c>
      <c r="U24" s="1">
        <v>44945</v>
      </c>
      <c r="V24" t="s">
        <v>48</v>
      </c>
      <c r="W24" s="1">
        <v>44946</v>
      </c>
      <c r="X24" s="2">
        <v>11</v>
      </c>
      <c r="Y24">
        <v>0</v>
      </c>
      <c r="Z24">
        <v>400</v>
      </c>
      <c r="AA24" t="s">
        <v>49</v>
      </c>
      <c r="AB24" t="s">
        <v>159</v>
      </c>
      <c r="AC24" s="1">
        <v>44956</v>
      </c>
      <c r="AD24">
        <f t="shared" si="3"/>
        <v>10</v>
      </c>
      <c r="AE24" t="s">
        <v>160</v>
      </c>
      <c r="AF24">
        <v>116</v>
      </c>
      <c r="AG24">
        <v>30</v>
      </c>
      <c r="AH24">
        <v>120</v>
      </c>
      <c r="AI24">
        <v>14</v>
      </c>
      <c r="AJ24">
        <v>0</v>
      </c>
      <c r="AK24">
        <f t="shared" si="0"/>
        <v>280</v>
      </c>
      <c r="AL24" s="12">
        <f t="shared" si="1"/>
        <v>0.71979434447300772</v>
      </c>
      <c r="AM24">
        <v>2</v>
      </c>
      <c r="AN24" t="s">
        <v>161</v>
      </c>
    </row>
    <row r="25" spans="1:41" x14ac:dyDescent="0.35">
      <c r="A25">
        <v>70</v>
      </c>
      <c r="B25" s="1">
        <v>44946</v>
      </c>
      <c r="C25" t="s">
        <v>42</v>
      </c>
      <c r="D25" t="s">
        <v>162</v>
      </c>
      <c r="E25" t="s">
        <v>163</v>
      </c>
      <c r="F25" t="s">
        <v>45</v>
      </c>
      <c r="G25" t="s">
        <v>73</v>
      </c>
      <c r="H25" s="14">
        <v>95.42</v>
      </c>
      <c r="I25" s="14">
        <v>47.19</v>
      </c>
      <c r="J25" s="14">
        <v>93.82</v>
      </c>
      <c r="K25" s="14">
        <v>42.83</v>
      </c>
      <c r="L25" s="17">
        <v>-16.995999999999999</v>
      </c>
      <c r="M25" s="17">
        <v>146.202</v>
      </c>
      <c r="N25" s="17">
        <v>-16.995999999999999</v>
      </c>
      <c r="O25" s="17">
        <v>146.202</v>
      </c>
      <c r="P25">
        <v>30</v>
      </c>
      <c r="Q25" s="2">
        <v>255</v>
      </c>
      <c r="R25">
        <v>3</v>
      </c>
      <c r="S25">
        <v>2</v>
      </c>
      <c r="T25">
        <v>63</v>
      </c>
      <c r="U25" s="1">
        <v>44945</v>
      </c>
      <c r="V25" t="s">
        <v>48</v>
      </c>
      <c r="W25" s="1">
        <v>44977</v>
      </c>
      <c r="X25" s="2">
        <v>11</v>
      </c>
      <c r="Y25">
        <v>0</v>
      </c>
      <c r="Z25">
        <v>520</v>
      </c>
      <c r="AA25" t="s">
        <v>49</v>
      </c>
      <c r="AB25" t="s">
        <v>164</v>
      </c>
      <c r="AC25" s="1">
        <v>44955</v>
      </c>
      <c r="AD25">
        <f t="shared" si="3"/>
        <v>9</v>
      </c>
      <c r="AE25" t="s">
        <v>47</v>
      </c>
      <c r="AF25" t="s">
        <v>47</v>
      </c>
      <c r="AG25" t="s">
        <v>47</v>
      </c>
      <c r="AH25" t="s">
        <v>47</v>
      </c>
      <c r="AI25" t="s">
        <v>47</v>
      </c>
      <c r="AJ25" t="s">
        <v>47</v>
      </c>
      <c r="AK25" t="s">
        <v>47</v>
      </c>
      <c r="AL25" t="s">
        <v>47</v>
      </c>
      <c r="AM25">
        <v>0</v>
      </c>
      <c r="AN25" t="s">
        <v>165</v>
      </c>
    </row>
    <row r="26" spans="1:41" x14ac:dyDescent="0.35">
      <c r="A26">
        <v>71</v>
      </c>
      <c r="B26" s="1">
        <v>44947</v>
      </c>
      <c r="C26" t="s">
        <v>42</v>
      </c>
      <c r="D26" t="s">
        <v>88</v>
      </c>
      <c r="E26" t="s">
        <v>89</v>
      </c>
      <c r="F26" t="s">
        <v>45</v>
      </c>
      <c r="G26" t="s">
        <v>79</v>
      </c>
      <c r="H26" s="14">
        <v>91.88</v>
      </c>
      <c r="I26" s="14">
        <v>36.33</v>
      </c>
      <c r="J26" s="14">
        <v>98.46</v>
      </c>
      <c r="K26" s="14">
        <v>48.79</v>
      </c>
      <c r="L26" s="17">
        <v>-16.657</v>
      </c>
      <c r="M26" s="17">
        <v>145.99</v>
      </c>
      <c r="N26" s="17">
        <v>-16.657</v>
      </c>
      <c r="O26" s="17">
        <v>145.99</v>
      </c>
      <c r="P26">
        <v>30</v>
      </c>
      <c r="Q26" s="2">
        <v>105</v>
      </c>
      <c r="R26">
        <v>3</v>
      </c>
      <c r="S26">
        <v>4</v>
      </c>
      <c r="T26">
        <v>64</v>
      </c>
      <c r="U26" s="1">
        <v>44946</v>
      </c>
      <c r="V26" t="s">
        <v>48</v>
      </c>
      <c r="W26" s="1">
        <v>45128</v>
      </c>
      <c r="X26" s="2">
        <v>11</v>
      </c>
      <c r="Y26">
        <v>0</v>
      </c>
      <c r="Z26">
        <v>468</v>
      </c>
      <c r="AA26" t="s">
        <v>49</v>
      </c>
      <c r="AB26" t="s">
        <v>166</v>
      </c>
      <c r="AC26" s="1">
        <v>44956</v>
      </c>
      <c r="AD26">
        <f t="shared" si="3"/>
        <v>9</v>
      </c>
      <c r="AE26" t="s">
        <v>167</v>
      </c>
      <c r="AF26">
        <v>304</v>
      </c>
      <c r="AG26">
        <v>30</v>
      </c>
      <c r="AH26">
        <v>90</v>
      </c>
      <c r="AI26">
        <v>0</v>
      </c>
      <c r="AJ26">
        <v>0</v>
      </c>
      <c r="AK26">
        <f>SUM(AF26:AJ26)</f>
        <v>424</v>
      </c>
      <c r="AL26" s="12">
        <f>AK26/(Z26 - X26 - Y26)</f>
        <v>0.92778993435448576</v>
      </c>
      <c r="AM26">
        <v>1</v>
      </c>
      <c r="AN26" t="s">
        <v>107</v>
      </c>
    </row>
    <row r="27" spans="1:41" x14ac:dyDescent="0.35">
      <c r="A27" s="4">
        <v>72</v>
      </c>
      <c r="B27" s="5">
        <v>44947</v>
      </c>
      <c r="C27" s="4" t="s">
        <v>42</v>
      </c>
      <c r="D27" s="4" t="s">
        <v>168</v>
      </c>
      <c r="E27" s="4" t="s">
        <v>169</v>
      </c>
      <c r="F27" s="4" t="s">
        <v>62</v>
      </c>
      <c r="G27" s="4" t="s">
        <v>144</v>
      </c>
      <c r="H27" s="16">
        <v>87.1</v>
      </c>
      <c r="I27" s="16">
        <v>32.619999999999997</v>
      </c>
      <c r="J27" s="16">
        <v>89.12</v>
      </c>
      <c r="K27" s="16">
        <v>36.67</v>
      </c>
      <c r="L27" s="19">
        <v>-20.927</v>
      </c>
      <c r="M27" s="19">
        <v>149.66249999999999</v>
      </c>
      <c r="N27" s="19">
        <v>-20.927</v>
      </c>
      <c r="O27" s="19">
        <v>149.66249999999999</v>
      </c>
      <c r="P27" s="4">
        <v>28.5</v>
      </c>
      <c r="Q27" s="11">
        <v>136</v>
      </c>
      <c r="R27" s="4">
        <v>3</v>
      </c>
      <c r="S27" s="4">
        <v>1</v>
      </c>
      <c r="T27" s="4">
        <v>64</v>
      </c>
      <c r="U27" s="5">
        <v>44946</v>
      </c>
      <c r="V27" s="4" t="s">
        <v>170</v>
      </c>
      <c r="W27" s="4" t="s">
        <v>47</v>
      </c>
      <c r="X27" s="4" t="s">
        <v>47</v>
      </c>
      <c r="Y27" s="4" t="s">
        <v>47</v>
      </c>
      <c r="Z27" s="4" t="s">
        <v>47</v>
      </c>
      <c r="AA27" s="4" t="s">
        <v>47</v>
      </c>
      <c r="AB27" s="4" t="s">
        <v>47</v>
      </c>
      <c r="AC27" s="4" t="s">
        <v>47</v>
      </c>
      <c r="AD27" s="4" t="s">
        <v>47</v>
      </c>
      <c r="AE27" s="4" t="s">
        <v>47</v>
      </c>
      <c r="AF27" s="4" t="s">
        <v>47</v>
      </c>
      <c r="AG27" s="4" t="s">
        <v>47</v>
      </c>
      <c r="AH27" s="4" t="s">
        <v>47</v>
      </c>
      <c r="AI27" s="4" t="s">
        <v>47</v>
      </c>
      <c r="AJ27" s="4" t="s">
        <v>47</v>
      </c>
      <c r="AK27" s="4" t="s">
        <v>47</v>
      </c>
      <c r="AL27" s="4" t="s">
        <v>47</v>
      </c>
      <c r="AM27" s="4">
        <v>0</v>
      </c>
      <c r="AN27" s="4" t="s">
        <v>171</v>
      </c>
      <c r="AO27" s="4"/>
    </row>
    <row r="28" spans="1:41" x14ac:dyDescent="0.35">
      <c r="A28" s="6">
        <v>73</v>
      </c>
      <c r="B28" s="7" t="s">
        <v>47</v>
      </c>
      <c r="C28" s="6" t="s">
        <v>47</v>
      </c>
      <c r="D28" s="6" t="s">
        <v>67</v>
      </c>
      <c r="E28" s="6" t="s">
        <v>68</v>
      </c>
      <c r="F28" s="6" t="s">
        <v>45</v>
      </c>
      <c r="G28" s="6" t="s">
        <v>56</v>
      </c>
      <c r="H28" s="15">
        <v>80.34</v>
      </c>
      <c r="I28" s="15">
        <v>23.91</v>
      </c>
      <c r="J28" s="15">
        <v>83.54</v>
      </c>
      <c r="K28" s="15">
        <v>29.23</v>
      </c>
      <c r="L28">
        <v>-16.702000000000002</v>
      </c>
      <c r="M28" s="17">
        <v>145.98599999999999</v>
      </c>
      <c r="N28">
        <v>-16.702000000000002</v>
      </c>
      <c r="O28" s="17">
        <v>145.98599999999999</v>
      </c>
      <c r="P28" s="6">
        <v>30</v>
      </c>
      <c r="Q28" s="8">
        <v>112</v>
      </c>
      <c r="R28" s="6">
        <v>3</v>
      </c>
      <c r="S28" s="6">
        <v>2</v>
      </c>
      <c r="T28" s="6">
        <v>64</v>
      </c>
      <c r="U28" s="7">
        <v>44977</v>
      </c>
      <c r="V28" s="6" t="s">
        <v>170</v>
      </c>
      <c r="W28" s="6" t="s">
        <v>47</v>
      </c>
      <c r="X28" s="8" t="s">
        <v>47</v>
      </c>
      <c r="Y28" s="6" t="s">
        <v>47</v>
      </c>
      <c r="Z28" s="6" t="s">
        <v>47</v>
      </c>
      <c r="AA28" s="6" t="s">
        <v>47</v>
      </c>
      <c r="AB28" s="6" t="s">
        <v>47</v>
      </c>
      <c r="AC28" s="7">
        <v>44946</v>
      </c>
      <c r="AD28" s="6" t="s">
        <v>47</v>
      </c>
      <c r="AE28" s="6" t="s">
        <v>172</v>
      </c>
      <c r="AF28" s="6">
        <v>99</v>
      </c>
      <c r="AG28" s="6">
        <v>30</v>
      </c>
      <c r="AH28" s="6">
        <v>90</v>
      </c>
      <c r="AI28" s="6">
        <v>0</v>
      </c>
      <c r="AJ28" s="6">
        <v>0</v>
      </c>
      <c r="AK28" s="6">
        <f t="shared" ref="AK28:AK37" si="4">SUM(AF28:AJ28)</f>
        <v>219</v>
      </c>
      <c r="AL28" s="13" t="s">
        <v>47</v>
      </c>
      <c r="AM28" s="6">
        <v>1</v>
      </c>
      <c r="AN28" s="6" t="s">
        <v>107</v>
      </c>
      <c r="AO28" s="9"/>
    </row>
    <row r="29" spans="1:41" x14ac:dyDescent="0.35">
      <c r="A29">
        <v>74</v>
      </c>
      <c r="B29" s="1">
        <v>44948</v>
      </c>
      <c r="C29" t="s">
        <v>42</v>
      </c>
      <c r="D29" t="s">
        <v>173</v>
      </c>
      <c r="E29" t="s">
        <v>174</v>
      </c>
      <c r="F29" t="s">
        <v>62</v>
      </c>
      <c r="G29" t="s">
        <v>175</v>
      </c>
      <c r="H29" s="14">
        <v>90.2</v>
      </c>
      <c r="I29" s="14">
        <v>34.53</v>
      </c>
      <c r="J29" s="14">
        <v>87.66</v>
      </c>
      <c r="K29" s="14">
        <v>38.67</v>
      </c>
      <c r="L29" s="17">
        <v>-20.863</v>
      </c>
      <c r="M29" s="17">
        <v>150.363</v>
      </c>
      <c r="N29" s="17">
        <v>-20.927</v>
      </c>
      <c r="O29" s="17">
        <v>149.66249999999999</v>
      </c>
      <c r="P29">
        <v>28.5</v>
      </c>
      <c r="Q29" s="2">
        <v>235</v>
      </c>
      <c r="R29">
        <v>3</v>
      </c>
      <c r="S29">
        <v>2</v>
      </c>
      <c r="T29">
        <v>65</v>
      </c>
      <c r="U29" s="1">
        <v>44947</v>
      </c>
      <c r="V29" t="s">
        <v>48</v>
      </c>
      <c r="W29" s="1">
        <v>44948</v>
      </c>
      <c r="X29" s="2">
        <v>10</v>
      </c>
      <c r="Y29">
        <v>0</v>
      </c>
      <c r="Z29">
        <v>375</v>
      </c>
      <c r="AA29" t="s">
        <v>49</v>
      </c>
      <c r="AB29" t="s">
        <v>176</v>
      </c>
      <c r="AC29" s="1">
        <v>44958</v>
      </c>
      <c r="AD29">
        <f t="shared" ref="AD29:AD43" si="5">AC29-B29</f>
        <v>10</v>
      </c>
      <c r="AE29" t="s">
        <v>177</v>
      </c>
      <c r="AF29">
        <v>52</v>
      </c>
      <c r="AG29">
        <v>30</v>
      </c>
      <c r="AH29">
        <v>120</v>
      </c>
      <c r="AI29">
        <v>26</v>
      </c>
      <c r="AJ29">
        <v>0</v>
      </c>
      <c r="AK29">
        <f t="shared" si="4"/>
        <v>228</v>
      </c>
      <c r="AL29" s="12">
        <f>AK29/(Z29 - X29 - Y29)</f>
        <v>0.62465753424657533</v>
      </c>
      <c r="AM29">
        <v>2</v>
      </c>
      <c r="AN29" t="s">
        <v>178</v>
      </c>
    </row>
    <row r="30" spans="1:41" x14ac:dyDescent="0.35">
      <c r="A30">
        <v>75</v>
      </c>
      <c r="B30" s="1">
        <v>44948</v>
      </c>
      <c r="C30" t="s">
        <v>42</v>
      </c>
      <c r="D30" t="s">
        <v>179</v>
      </c>
      <c r="E30" t="s">
        <v>180</v>
      </c>
      <c r="F30" t="s">
        <v>62</v>
      </c>
      <c r="G30" t="s">
        <v>175</v>
      </c>
      <c r="H30" s="14">
        <v>85.1</v>
      </c>
      <c r="I30" s="14">
        <v>28.44</v>
      </c>
      <c r="J30" s="14">
        <v>90.92</v>
      </c>
      <c r="K30" s="14">
        <v>36.71</v>
      </c>
      <c r="L30" s="17">
        <v>-20.863</v>
      </c>
      <c r="M30" s="17">
        <v>150.363</v>
      </c>
      <c r="N30" s="17">
        <v>-20.927</v>
      </c>
      <c r="O30" s="17">
        <v>149.66249999999999</v>
      </c>
      <c r="P30">
        <v>28.5</v>
      </c>
      <c r="Q30" s="2">
        <v>244</v>
      </c>
      <c r="R30">
        <v>3</v>
      </c>
      <c r="S30">
        <v>2</v>
      </c>
      <c r="T30">
        <v>65</v>
      </c>
      <c r="U30" s="1">
        <v>44947</v>
      </c>
      <c r="V30" t="s">
        <v>48</v>
      </c>
      <c r="W30" s="1">
        <v>44583</v>
      </c>
      <c r="X30" s="2">
        <v>10</v>
      </c>
      <c r="Y30">
        <v>0</v>
      </c>
      <c r="Z30">
        <v>485</v>
      </c>
      <c r="AA30" t="s">
        <v>49</v>
      </c>
      <c r="AB30" t="s">
        <v>181</v>
      </c>
      <c r="AC30" s="1">
        <v>44959</v>
      </c>
      <c r="AD30">
        <f t="shared" si="5"/>
        <v>11</v>
      </c>
      <c r="AE30" t="s">
        <v>182</v>
      </c>
      <c r="AF30">
        <v>92</v>
      </c>
      <c r="AG30">
        <v>30</v>
      </c>
      <c r="AH30">
        <v>120</v>
      </c>
      <c r="AI30">
        <v>3</v>
      </c>
      <c r="AJ30">
        <v>13</v>
      </c>
      <c r="AK30">
        <f t="shared" si="4"/>
        <v>258</v>
      </c>
      <c r="AL30" s="12">
        <f>AK30/(Z30 - X30 - Y30)</f>
        <v>0.54315789473684206</v>
      </c>
      <c r="AM30">
        <v>2</v>
      </c>
      <c r="AN30" t="s">
        <v>183</v>
      </c>
    </row>
    <row r="31" spans="1:41" x14ac:dyDescent="0.35">
      <c r="A31">
        <v>76</v>
      </c>
      <c r="B31" s="1">
        <v>44952</v>
      </c>
      <c r="C31" t="s">
        <v>42</v>
      </c>
      <c r="D31" t="s">
        <v>43</v>
      </c>
      <c r="E31" t="s">
        <v>44</v>
      </c>
      <c r="F31" t="s">
        <v>45</v>
      </c>
      <c r="G31" t="s">
        <v>46</v>
      </c>
      <c r="H31" s="14">
        <v>102.3</v>
      </c>
      <c r="I31" s="14">
        <v>58.01</v>
      </c>
      <c r="J31" s="14">
        <v>102.4</v>
      </c>
      <c r="K31" s="14">
        <v>52.7</v>
      </c>
      <c r="L31" s="17">
        <v>-16.622</v>
      </c>
      <c r="M31" s="17">
        <v>146.04230000000001</v>
      </c>
      <c r="N31" s="17">
        <v>-16.622</v>
      </c>
      <c r="O31" s="17">
        <v>146.04230000000001</v>
      </c>
      <c r="P31">
        <v>27</v>
      </c>
      <c r="Q31" s="2">
        <v>168</v>
      </c>
      <c r="R31">
        <v>3</v>
      </c>
      <c r="S31">
        <v>2</v>
      </c>
      <c r="T31">
        <v>69</v>
      </c>
      <c r="U31" s="1">
        <v>44586</v>
      </c>
      <c r="V31" t="s">
        <v>48</v>
      </c>
      <c r="W31" s="1">
        <v>44587</v>
      </c>
      <c r="X31" s="2">
        <v>10</v>
      </c>
      <c r="Y31">
        <v>0</v>
      </c>
      <c r="Z31">
        <v>375</v>
      </c>
      <c r="AA31" t="s">
        <v>49</v>
      </c>
      <c r="AB31" t="s">
        <v>184</v>
      </c>
      <c r="AC31" s="1">
        <v>44963</v>
      </c>
      <c r="AD31">
        <f t="shared" si="5"/>
        <v>11</v>
      </c>
      <c r="AE31" t="s">
        <v>185</v>
      </c>
      <c r="AF31">
        <v>238</v>
      </c>
      <c r="AG31">
        <v>30</v>
      </c>
      <c r="AH31">
        <v>90</v>
      </c>
      <c r="AI31">
        <v>0</v>
      </c>
      <c r="AJ31">
        <v>0</v>
      </c>
      <c r="AK31">
        <f t="shared" si="4"/>
        <v>358</v>
      </c>
      <c r="AL31" s="12">
        <f>AK31/(Z31 - X31 - Y31)</f>
        <v>0.98082191780821915</v>
      </c>
      <c r="AM31">
        <v>1</v>
      </c>
      <c r="AN31" t="s">
        <v>186</v>
      </c>
    </row>
    <row r="32" spans="1:41" x14ac:dyDescent="0.35">
      <c r="A32">
        <v>77</v>
      </c>
      <c r="B32" s="1">
        <v>44955</v>
      </c>
      <c r="C32" t="s">
        <v>42</v>
      </c>
      <c r="D32" t="s">
        <v>98</v>
      </c>
      <c r="E32" t="s">
        <v>99</v>
      </c>
      <c r="F32" t="s">
        <v>45</v>
      </c>
      <c r="G32" t="s">
        <v>56</v>
      </c>
      <c r="H32" s="14">
        <v>78.400000000000006</v>
      </c>
      <c r="I32" s="14">
        <v>23.15</v>
      </c>
      <c r="J32" s="14">
        <v>72.47</v>
      </c>
      <c r="K32" s="14">
        <v>16.28</v>
      </c>
      <c r="L32">
        <v>-16.702000000000002</v>
      </c>
      <c r="M32" s="17">
        <v>145.98599999999999</v>
      </c>
      <c r="N32">
        <v>-16.702000000000002</v>
      </c>
      <c r="O32" s="17">
        <v>145.98599999999999</v>
      </c>
      <c r="P32">
        <v>28.5</v>
      </c>
      <c r="Q32" s="2">
        <v>144</v>
      </c>
      <c r="R32">
        <v>3</v>
      </c>
      <c r="S32">
        <v>3</v>
      </c>
      <c r="T32">
        <v>72</v>
      </c>
      <c r="U32" s="1">
        <v>44954</v>
      </c>
      <c r="V32" t="s">
        <v>48</v>
      </c>
      <c r="W32" s="1">
        <v>44590</v>
      </c>
      <c r="X32" s="2">
        <v>10</v>
      </c>
      <c r="Y32">
        <v>0</v>
      </c>
      <c r="Z32">
        <v>298</v>
      </c>
      <c r="AA32" t="s">
        <v>49</v>
      </c>
      <c r="AB32" t="s">
        <v>187</v>
      </c>
      <c r="AC32" s="1">
        <v>44964</v>
      </c>
      <c r="AD32">
        <f t="shared" si="5"/>
        <v>9</v>
      </c>
      <c r="AE32" t="s">
        <v>47</v>
      </c>
      <c r="AF32">
        <v>0</v>
      </c>
      <c r="AG32">
        <v>30</v>
      </c>
      <c r="AH32">
        <v>120</v>
      </c>
      <c r="AI32">
        <v>13</v>
      </c>
      <c r="AJ32">
        <v>12</v>
      </c>
      <c r="AK32">
        <f t="shared" si="4"/>
        <v>175</v>
      </c>
      <c r="AL32" s="12">
        <f>AK32/(Z32-X32-Y32)</f>
        <v>0.60763888888888884</v>
      </c>
      <c r="AM32">
        <v>4</v>
      </c>
      <c r="AN32" t="s">
        <v>188</v>
      </c>
    </row>
    <row r="33" spans="1:41" x14ac:dyDescent="0.35">
      <c r="A33">
        <v>78</v>
      </c>
      <c r="B33" s="1">
        <v>44956</v>
      </c>
      <c r="C33" t="s">
        <v>115</v>
      </c>
      <c r="D33" t="s">
        <v>93</v>
      </c>
      <c r="E33" t="s">
        <v>94</v>
      </c>
      <c r="F33" t="s">
        <v>45</v>
      </c>
      <c r="G33" t="s">
        <v>46</v>
      </c>
      <c r="H33" s="14">
        <v>98.74</v>
      </c>
      <c r="I33" s="14">
        <v>57.31</v>
      </c>
      <c r="J33" s="14">
        <v>99.6</v>
      </c>
      <c r="K33" s="14">
        <v>47.19</v>
      </c>
      <c r="L33" s="17">
        <v>-16.622</v>
      </c>
      <c r="M33" s="17">
        <v>146.04230000000001</v>
      </c>
      <c r="N33" s="17">
        <v>-16.622</v>
      </c>
      <c r="O33" s="17">
        <v>146.04230000000001</v>
      </c>
      <c r="P33">
        <v>28.5</v>
      </c>
      <c r="Q33" s="2">
        <v>208</v>
      </c>
      <c r="R33">
        <v>3</v>
      </c>
      <c r="S33">
        <v>3</v>
      </c>
      <c r="T33">
        <v>73</v>
      </c>
      <c r="U33" s="1">
        <v>44590</v>
      </c>
      <c r="V33" t="s">
        <v>48</v>
      </c>
      <c r="W33" s="1">
        <v>44591</v>
      </c>
      <c r="X33" s="2">
        <v>10</v>
      </c>
      <c r="Y33">
        <v>0</v>
      </c>
      <c r="Z33" s="6" t="s">
        <v>47</v>
      </c>
      <c r="AA33" s="6" t="s">
        <v>47</v>
      </c>
      <c r="AB33" s="6" t="s">
        <v>47</v>
      </c>
      <c r="AC33" s="1">
        <v>44964</v>
      </c>
      <c r="AD33">
        <f t="shared" si="5"/>
        <v>8</v>
      </c>
      <c r="AE33" t="s">
        <v>189</v>
      </c>
      <c r="AF33">
        <v>155</v>
      </c>
      <c r="AG33">
        <v>30</v>
      </c>
      <c r="AH33">
        <v>90</v>
      </c>
      <c r="AI33">
        <v>0</v>
      </c>
      <c r="AJ33">
        <v>0</v>
      </c>
      <c r="AK33">
        <f t="shared" si="4"/>
        <v>275</v>
      </c>
      <c r="AL33" s="20" t="s">
        <v>47</v>
      </c>
      <c r="AM33" s="21">
        <v>1</v>
      </c>
      <c r="AN33" s="21" t="s">
        <v>190</v>
      </c>
      <c r="AO33" s="21" t="s">
        <v>191</v>
      </c>
    </row>
    <row r="34" spans="1:41" x14ac:dyDescent="0.35">
      <c r="A34">
        <v>79</v>
      </c>
      <c r="B34" s="1">
        <v>44957</v>
      </c>
      <c r="C34" t="s">
        <v>42</v>
      </c>
      <c r="D34" t="s">
        <v>67</v>
      </c>
      <c r="E34" t="s">
        <v>68</v>
      </c>
      <c r="F34" t="s">
        <v>45</v>
      </c>
      <c r="G34" t="s">
        <v>56</v>
      </c>
      <c r="H34" s="14">
        <v>80.34</v>
      </c>
      <c r="I34" s="14">
        <v>23.91</v>
      </c>
      <c r="J34" s="14">
        <v>83.54</v>
      </c>
      <c r="K34" s="14">
        <v>29.23</v>
      </c>
      <c r="L34">
        <v>-16.702000000000002</v>
      </c>
      <c r="M34" s="17">
        <v>145.98599999999999</v>
      </c>
      <c r="N34">
        <v>-16.702000000000002</v>
      </c>
      <c r="O34" s="17">
        <v>145.98599999999999</v>
      </c>
      <c r="P34">
        <v>30</v>
      </c>
      <c r="Q34" s="2">
        <v>112</v>
      </c>
      <c r="R34">
        <v>3</v>
      </c>
      <c r="S34">
        <v>3</v>
      </c>
      <c r="T34">
        <v>74</v>
      </c>
      <c r="U34" s="1">
        <v>44946</v>
      </c>
      <c r="V34" t="s">
        <v>48</v>
      </c>
      <c r="W34" s="1">
        <v>44592</v>
      </c>
      <c r="X34" s="2">
        <v>11</v>
      </c>
      <c r="Y34">
        <v>0</v>
      </c>
      <c r="Z34">
        <v>525</v>
      </c>
      <c r="AA34" t="s">
        <v>49</v>
      </c>
      <c r="AB34" t="s">
        <v>192</v>
      </c>
      <c r="AC34" s="1">
        <v>44966</v>
      </c>
      <c r="AD34">
        <f t="shared" si="5"/>
        <v>9</v>
      </c>
      <c r="AE34" t="s">
        <v>193</v>
      </c>
      <c r="AF34">
        <v>58</v>
      </c>
      <c r="AG34">
        <v>30</v>
      </c>
      <c r="AH34">
        <v>90</v>
      </c>
      <c r="AI34">
        <v>0</v>
      </c>
      <c r="AJ34">
        <v>0</v>
      </c>
      <c r="AK34">
        <f t="shared" si="4"/>
        <v>178</v>
      </c>
      <c r="AL34" s="12">
        <f>AK34/(Z34 - X34 - Y34)</f>
        <v>0.34630350194552528</v>
      </c>
      <c r="AM34">
        <v>1</v>
      </c>
      <c r="AN34" t="s">
        <v>194</v>
      </c>
      <c r="AO34" t="s">
        <v>195</v>
      </c>
    </row>
    <row r="35" spans="1:41" x14ac:dyDescent="0.35">
      <c r="A35">
        <v>80</v>
      </c>
      <c r="B35" s="1">
        <v>44958</v>
      </c>
      <c r="C35" t="s">
        <v>42</v>
      </c>
      <c r="D35" t="s">
        <v>54</v>
      </c>
      <c r="E35" t="s">
        <v>55</v>
      </c>
      <c r="F35" t="s">
        <v>45</v>
      </c>
      <c r="G35" t="s">
        <v>56</v>
      </c>
      <c r="H35" s="14">
        <v>91.5</v>
      </c>
      <c r="I35" s="14">
        <v>36.700000000000003</v>
      </c>
      <c r="J35" s="14">
        <v>86.5</v>
      </c>
      <c r="K35" s="14">
        <v>31.03</v>
      </c>
      <c r="L35">
        <v>-16.702000000000002</v>
      </c>
      <c r="M35" s="17">
        <v>145.98599999999999</v>
      </c>
      <c r="N35">
        <v>-16.702000000000002</v>
      </c>
      <c r="O35" s="17">
        <v>145.98599999999999</v>
      </c>
      <c r="P35">
        <v>27</v>
      </c>
      <c r="Q35" s="2">
        <v>247</v>
      </c>
      <c r="R35">
        <v>3</v>
      </c>
      <c r="S35">
        <v>2</v>
      </c>
      <c r="T35">
        <v>75</v>
      </c>
      <c r="U35" s="1">
        <v>44957</v>
      </c>
      <c r="V35" t="s">
        <v>48</v>
      </c>
      <c r="W35" s="1">
        <v>44958</v>
      </c>
      <c r="X35" s="2">
        <v>12</v>
      </c>
      <c r="Y35">
        <v>0</v>
      </c>
      <c r="Z35">
        <v>373</v>
      </c>
      <c r="AA35" t="s">
        <v>49</v>
      </c>
      <c r="AB35" t="s">
        <v>196</v>
      </c>
      <c r="AC35" s="1">
        <v>44969</v>
      </c>
      <c r="AD35">
        <f t="shared" si="5"/>
        <v>11</v>
      </c>
      <c r="AE35" t="s">
        <v>197</v>
      </c>
      <c r="AF35">
        <v>175</v>
      </c>
      <c r="AG35">
        <v>30</v>
      </c>
      <c r="AH35">
        <v>90</v>
      </c>
      <c r="AI35">
        <v>0</v>
      </c>
      <c r="AJ35">
        <v>0</v>
      </c>
      <c r="AK35">
        <f t="shared" si="4"/>
        <v>295</v>
      </c>
      <c r="AL35" s="12">
        <f>AK35/(Z35 - X35 - Y35)</f>
        <v>0.81717451523545703</v>
      </c>
      <c r="AM35">
        <v>1</v>
      </c>
      <c r="AN35" t="s">
        <v>107</v>
      </c>
    </row>
    <row r="36" spans="1:41" x14ac:dyDescent="0.35">
      <c r="A36">
        <v>81</v>
      </c>
      <c r="B36" s="1">
        <v>44960</v>
      </c>
      <c r="C36" t="s">
        <v>42</v>
      </c>
      <c r="D36" t="s">
        <v>198</v>
      </c>
      <c r="E36" t="s">
        <v>199</v>
      </c>
      <c r="F36" t="s">
        <v>45</v>
      </c>
      <c r="G36" t="s">
        <v>56</v>
      </c>
      <c r="H36" s="14">
        <v>86.84</v>
      </c>
      <c r="I36" s="14">
        <v>32.4</v>
      </c>
      <c r="J36" s="14">
        <v>85.8</v>
      </c>
      <c r="K36" s="14">
        <v>31.36</v>
      </c>
      <c r="L36">
        <v>-16.702000000000002</v>
      </c>
      <c r="M36" s="17">
        <v>145.98599999999999</v>
      </c>
      <c r="N36">
        <v>-16.702000000000002</v>
      </c>
      <c r="O36" s="17">
        <v>145.98599999999999</v>
      </c>
      <c r="P36">
        <v>27</v>
      </c>
      <c r="Q36" s="2">
        <v>253</v>
      </c>
      <c r="R36">
        <v>3</v>
      </c>
      <c r="S36">
        <v>1</v>
      </c>
      <c r="T36">
        <v>77</v>
      </c>
      <c r="U36" s="1">
        <v>44959</v>
      </c>
      <c r="V36" t="s">
        <v>48</v>
      </c>
      <c r="W36" s="1">
        <v>44960</v>
      </c>
      <c r="X36" s="2">
        <v>10</v>
      </c>
      <c r="Y36">
        <v>0</v>
      </c>
      <c r="Z36">
        <v>500</v>
      </c>
      <c r="AA36" t="s">
        <v>49</v>
      </c>
      <c r="AB36" t="s">
        <v>200</v>
      </c>
      <c r="AC36" s="1">
        <v>44971</v>
      </c>
      <c r="AD36">
        <f t="shared" si="5"/>
        <v>11</v>
      </c>
      <c r="AE36" t="s">
        <v>201</v>
      </c>
      <c r="AF36">
        <v>256</v>
      </c>
      <c r="AG36">
        <v>30</v>
      </c>
      <c r="AH36">
        <v>90</v>
      </c>
      <c r="AI36">
        <v>0</v>
      </c>
      <c r="AJ36">
        <v>0</v>
      </c>
      <c r="AK36">
        <f t="shared" si="4"/>
        <v>376</v>
      </c>
      <c r="AL36" s="12">
        <f>AK36/(Z36 - X36 - Y36)</f>
        <v>0.76734693877551019</v>
      </c>
      <c r="AM36">
        <v>1</v>
      </c>
      <c r="AN36" t="s">
        <v>202</v>
      </c>
    </row>
    <row r="37" spans="1:41" x14ac:dyDescent="0.35">
      <c r="A37">
        <v>82</v>
      </c>
      <c r="B37" s="1">
        <v>44960</v>
      </c>
      <c r="C37" t="s">
        <v>42</v>
      </c>
      <c r="D37" t="s">
        <v>203</v>
      </c>
      <c r="E37" t="s">
        <v>204</v>
      </c>
      <c r="F37" t="s">
        <v>45</v>
      </c>
      <c r="G37" t="s">
        <v>205</v>
      </c>
      <c r="H37" s="14">
        <v>88.1</v>
      </c>
      <c r="I37" s="14">
        <v>34.49</v>
      </c>
      <c r="J37" s="14">
        <v>84.12</v>
      </c>
      <c r="K37" s="14">
        <v>26.52</v>
      </c>
      <c r="L37" s="17">
        <v>-18.082999999999998</v>
      </c>
      <c r="M37" s="17">
        <v>146.55000000000001</v>
      </c>
      <c r="N37" s="17">
        <v>-18.082999999999998</v>
      </c>
      <c r="O37" s="17">
        <v>146.55000000000001</v>
      </c>
      <c r="P37">
        <v>28.5</v>
      </c>
      <c r="Q37" s="2">
        <v>15</v>
      </c>
      <c r="R37">
        <v>2</v>
      </c>
      <c r="S37">
        <v>1</v>
      </c>
      <c r="T37">
        <v>77</v>
      </c>
      <c r="U37" s="1">
        <v>44959</v>
      </c>
      <c r="V37" t="s">
        <v>48</v>
      </c>
      <c r="W37" s="1">
        <v>44960</v>
      </c>
      <c r="X37" s="2">
        <v>10</v>
      </c>
      <c r="Y37">
        <v>0</v>
      </c>
      <c r="Z37">
        <v>383</v>
      </c>
      <c r="AA37" t="s">
        <v>49</v>
      </c>
      <c r="AB37" t="s">
        <v>206</v>
      </c>
      <c r="AC37" s="1">
        <v>44969</v>
      </c>
      <c r="AD37">
        <f t="shared" si="5"/>
        <v>9</v>
      </c>
      <c r="AE37" t="s">
        <v>47</v>
      </c>
      <c r="AF37">
        <v>0</v>
      </c>
      <c r="AG37">
        <v>30</v>
      </c>
      <c r="AH37">
        <v>120</v>
      </c>
      <c r="AI37">
        <v>0</v>
      </c>
      <c r="AJ37">
        <v>2</v>
      </c>
      <c r="AK37">
        <f t="shared" si="4"/>
        <v>152</v>
      </c>
      <c r="AL37" s="12">
        <f>AK37/(Z37 - X37 - Y37)</f>
        <v>0.40750670241286863</v>
      </c>
      <c r="AM37">
        <v>2</v>
      </c>
      <c r="AN37" t="s">
        <v>207</v>
      </c>
    </row>
    <row r="38" spans="1:41" x14ac:dyDescent="0.35">
      <c r="A38">
        <v>83</v>
      </c>
      <c r="B38" s="1">
        <v>44961</v>
      </c>
      <c r="C38" t="s">
        <v>42</v>
      </c>
      <c r="D38" t="s">
        <v>77</v>
      </c>
      <c r="E38" t="s">
        <v>78</v>
      </c>
      <c r="F38" t="s">
        <v>45</v>
      </c>
      <c r="G38" t="s">
        <v>79</v>
      </c>
      <c r="H38" s="14">
        <v>90</v>
      </c>
      <c r="I38" s="14">
        <v>36.79</v>
      </c>
      <c r="J38" s="14">
        <v>96.32</v>
      </c>
      <c r="K38" s="14">
        <v>43.73</v>
      </c>
      <c r="L38" s="17">
        <v>-16.657</v>
      </c>
      <c r="M38" s="17">
        <v>145.99</v>
      </c>
      <c r="N38" s="17">
        <v>-16.657</v>
      </c>
      <c r="O38" s="17">
        <v>145.99</v>
      </c>
      <c r="P38">
        <v>28.5</v>
      </c>
      <c r="Q38" s="2">
        <v>137</v>
      </c>
      <c r="R38">
        <v>3</v>
      </c>
      <c r="S38">
        <v>5</v>
      </c>
      <c r="T38">
        <v>78</v>
      </c>
      <c r="U38" s="1">
        <v>44960</v>
      </c>
      <c r="V38" t="s">
        <v>48</v>
      </c>
      <c r="W38" s="1">
        <v>44961</v>
      </c>
      <c r="X38" s="2">
        <v>10</v>
      </c>
      <c r="Y38">
        <v>1</v>
      </c>
      <c r="Z38">
        <v>496</v>
      </c>
      <c r="AA38" t="s">
        <v>49</v>
      </c>
      <c r="AB38" t="s">
        <v>208</v>
      </c>
      <c r="AC38" s="1">
        <v>44971</v>
      </c>
      <c r="AD38">
        <f t="shared" si="5"/>
        <v>10</v>
      </c>
      <c r="AE38" t="s">
        <v>47</v>
      </c>
      <c r="AF38" t="s">
        <v>47</v>
      </c>
      <c r="AG38" t="s">
        <v>47</v>
      </c>
      <c r="AH38" t="s">
        <v>47</v>
      </c>
      <c r="AI38" t="s">
        <v>47</v>
      </c>
      <c r="AJ38" t="s">
        <v>47</v>
      </c>
      <c r="AK38" t="s">
        <v>47</v>
      </c>
      <c r="AL38" t="s">
        <v>47</v>
      </c>
      <c r="AM38">
        <v>0</v>
      </c>
      <c r="AN38" t="s">
        <v>209</v>
      </c>
    </row>
    <row r="39" spans="1:41" x14ac:dyDescent="0.35">
      <c r="A39">
        <v>84</v>
      </c>
      <c r="B39" s="1">
        <v>44962</v>
      </c>
      <c r="C39" t="s">
        <v>42</v>
      </c>
      <c r="D39" t="s">
        <v>210</v>
      </c>
      <c r="E39" t="s">
        <v>211</v>
      </c>
      <c r="F39" t="s">
        <v>45</v>
      </c>
      <c r="G39" t="s">
        <v>56</v>
      </c>
      <c r="H39" s="14">
        <v>88.62</v>
      </c>
      <c r="I39" s="14">
        <v>35.520000000000003</v>
      </c>
      <c r="J39" s="14">
        <v>99.12</v>
      </c>
      <c r="K39" s="14">
        <v>52.02</v>
      </c>
      <c r="L39">
        <v>-16.702000000000002</v>
      </c>
      <c r="M39" s="17">
        <v>145.98599999999999</v>
      </c>
      <c r="N39">
        <v>-16.702000000000002</v>
      </c>
      <c r="O39" s="17">
        <v>145.98599999999999</v>
      </c>
      <c r="P39">
        <v>30</v>
      </c>
      <c r="Q39" s="2">
        <v>108</v>
      </c>
      <c r="R39">
        <v>3</v>
      </c>
      <c r="S39">
        <v>2</v>
      </c>
      <c r="T39">
        <v>79</v>
      </c>
      <c r="U39" s="1">
        <v>44961</v>
      </c>
      <c r="V39" t="s">
        <v>48</v>
      </c>
      <c r="W39" s="1">
        <v>44962</v>
      </c>
      <c r="X39" s="2">
        <v>10</v>
      </c>
      <c r="Y39">
        <v>0</v>
      </c>
      <c r="Z39">
        <v>485</v>
      </c>
      <c r="AA39" t="s">
        <v>49</v>
      </c>
      <c r="AB39" t="s">
        <v>212</v>
      </c>
      <c r="AC39" s="1">
        <v>44971</v>
      </c>
      <c r="AD39">
        <f t="shared" si="5"/>
        <v>9</v>
      </c>
      <c r="AE39" t="s">
        <v>213</v>
      </c>
      <c r="AF39">
        <v>304</v>
      </c>
      <c r="AG39">
        <v>30</v>
      </c>
      <c r="AH39">
        <v>90</v>
      </c>
      <c r="AI39">
        <v>0</v>
      </c>
      <c r="AJ39">
        <v>0</v>
      </c>
      <c r="AK39">
        <f>SUM(AF39:AJ39)</f>
        <v>424</v>
      </c>
      <c r="AL39" s="12">
        <f>AK39/(Z39 - X39 - Y39)</f>
        <v>0.89263157894736844</v>
      </c>
      <c r="AM39">
        <v>1</v>
      </c>
      <c r="AN39" t="s">
        <v>107</v>
      </c>
    </row>
    <row r="40" spans="1:41" x14ac:dyDescent="0.35">
      <c r="A40">
        <v>85</v>
      </c>
      <c r="B40" s="1">
        <v>44962</v>
      </c>
      <c r="C40" t="s">
        <v>42</v>
      </c>
      <c r="D40" t="s">
        <v>116</v>
      </c>
      <c r="E40" t="s">
        <v>117</v>
      </c>
      <c r="F40" t="s">
        <v>45</v>
      </c>
      <c r="G40" t="s">
        <v>56</v>
      </c>
      <c r="H40" s="14">
        <v>87.22</v>
      </c>
      <c r="I40" s="14">
        <v>31.58</v>
      </c>
      <c r="J40" s="14">
        <v>84.76</v>
      </c>
      <c r="K40" s="14">
        <v>29.85</v>
      </c>
      <c r="L40">
        <v>-16.702000000000002</v>
      </c>
      <c r="M40" s="17">
        <v>145.98599999999999</v>
      </c>
      <c r="N40">
        <v>-16.702000000000002</v>
      </c>
      <c r="O40" s="17">
        <v>145.98599999999999</v>
      </c>
      <c r="P40">
        <v>27</v>
      </c>
      <c r="Q40" s="2">
        <v>124</v>
      </c>
      <c r="R40">
        <v>3</v>
      </c>
      <c r="S40">
        <v>3</v>
      </c>
      <c r="T40">
        <v>79</v>
      </c>
      <c r="U40" s="1">
        <v>44961</v>
      </c>
      <c r="V40" t="s">
        <v>48</v>
      </c>
      <c r="W40" s="1">
        <v>44962</v>
      </c>
      <c r="X40" s="2">
        <v>10</v>
      </c>
      <c r="Y40">
        <v>0</v>
      </c>
      <c r="Z40">
        <v>429</v>
      </c>
      <c r="AA40" t="s">
        <v>49</v>
      </c>
      <c r="AB40" t="s">
        <v>214</v>
      </c>
      <c r="AC40" s="1">
        <v>44973</v>
      </c>
      <c r="AD40">
        <f t="shared" si="5"/>
        <v>11</v>
      </c>
      <c r="AE40" t="s">
        <v>215</v>
      </c>
      <c r="AF40">
        <v>250</v>
      </c>
      <c r="AG40">
        <v>30</v>
      </c>
      <c r="AH40">
        <v>90</v>
      </c>
      <c r="AI40">
        <v>0</v>
      </c>
      <c r="AJ40">
        <v>3</v>
      </c>
      <c r="AK40">
        <f>SUM(AF40:AJ40)</f>
        <v>373</v>
      </c>
      <c r="AL40" s="12">
        <f>AK40/(Z40 - X40 - Y40)</f>
        <v>0.89021479713603824</v>
      </c>
      <c r="AM40">
        <v>1</v>
      </c>
      <c r="AN40" t="s">
        <v>216</v>
      </c>
    </row>
    <row r="41" spans="1:41" x14ac:dyDescent="0.35">
      <c r="A41">
        <v>86</v>
      </c>
      <c r="B41" s="1">
        <v>44964</v>
      </c>
      <c r="C41" t="s">
        <v>42</v>
      </c>
      <c r="D41" t="s">
        <v>217</v>
      </c>
      <c r="E41" t="s">
        <v>218</v>
      </c>
      <c r="F41" t="s">
        <v>45</v>
      </c>
      <c r="G41" t="s">
        <v>46</v>
      </c>
      <c r="H41" s="14">
        <v>84.13</v>
      </c>
      <c r="I41" s="14">
        <v>25</v>
      </c>
      <c r="J41" s="14">
        <v>89.12</v>
      </c>
      <c r="K41" s="14">
        <v>36.19</v>
      </c>
      <c r="L41" s="17">
        <v>-16.622</v>
      </c>
      <c r="M41" s="17">
        <v>146.04230000000001</v>
      </c>
      <c r="N41" s="17">
        <v>-16.622</v>
      </c>
      <c r="O41" s="17">
        <v>146.04230000000001</v>
      </c>
      <c r="P41">
        <v>30</v>
      </c>
      <c r="Q41" s="2">
        <v>204</v>
      </c>
      <c r="R41">
        <v>3</v>
      </c>
      <c r="S41">
        <v>1</v>
      </c>
      <c r="T41">
        <v>81</v>
      </c>
      <c r="U41" s="1">
        <v>44963</v>
      </c>
      <c r="V41" t="s">
        <v>48</v>
      </c>
      <c r="W41" s="1">
        <f t="shared" ref="W41:W68" si="6">B41</f>
        <v>44964</v>
      </c>
      <c r="X41" s="2">
        <v>12</v>
      </c>
      <c r="Y41">
        <v>10</v>
      </c>
      <c r="Z41">
        <v>418</v>
      </c>
      <c r="AA41" t="s">
        <v>49</v>
      </c>
      <c r="AB41" t="s">
        <v>219</v>
      </c>
      <c r="AC41" s="1">
        <v>44973</v>
      </c>
      <c r="AD41">
        <f t="shared" si="5"/>
        <v>9</v>
      </c>
      <c r="AE41" t="s">
        <v>220</v>
      </c>
      <c r="AF41">
        <v>267</v>
      </c>
      <c r="AG41">
        <v>30</v>
      </c>
      <c r="AH41">
        <v>90</v>
      </c>
      <c r="AI41">
        <v>0</v>
      </c>
      <c r="AJ41">
        <v>4</v>
      </c>
      <c r="AK41">
        <f>SUM(AF41:AJ41)</f>
        <v>391</v>
      </c>
      <c r="AL41" s="12">
        <f>AK41/(Z41 - X41 - Y41)</f>
        <v>0.98737373737373735</v>
      </c>
      <c r="AM41">
        <v>1</v>
      </c>
      <c r="AN41" t="s">
        <v>221</v>
      </c>
    </row>
    <row r="42" spans="1:41" x14ac:dyDescent="0.35">
      <c r="A42">
        <v>87</v>
      </c>
      <c r="B42" s="1">
        <v>44964</v>
      </c>
      <c r="C42" t="s">
        <v>42</v>
      </c>
      <c r="D42" t="s">
        <v>222</v>
      </c>
      <c r="E42" t="s">
        <v>223</v>
      </c>
      <c r="F42" t="s">
        <v>45</v>
      </c>
      <c r="G42" t="s">
        <v>224</v>
      </c>
      <c r="H42" s="14">
        <v>88.13</v>
      </c>
      <c r="I42" s="14">
        <v>35.28</v>
      </c>
      <c r="J42" s="14">
        <v>92.98</v>
      </c>
      <c r="K42" s="14">
        <v>38.4</v>
      </c>
      <c r="L42" s="17">
        <v>-17.233000000000001</v>
      </c>
      <c r="M42" s="17">
        <v>146.1</v>
      </c>
      <c r="N42" s="17">
        <v>-17.233000000000001</v>
      </c>
      <c r="O42" s="17">
        <v>146.1</v>
      </c>
      <c r="P42">
        <v>28.5</v>
      </c>
      <c r="Q42" s="2">
        <v>6</v>
      </c>
      <c r="R42">
        <v>2</v>
      </c>
      <c r="S42">
        <v>1</v>
      </c>
      <c r="T42">
        <v>81</v>
      </c>
      <c r="U42" s="1">
        <v>44963</v>
      </c>
      <c r="V42" t="s">
        <v>48</v>
      </c>
      <c r="W42" s="1">
        <f t="shared" si="6"/>
        <v>44964</v>
      </c>
      <c r="X42" s="2">
        <v>11</v>
      </c>
      <c r="Y42">
        <v>0</v>
      </c>
      <c r="Z42">
        <v>527</v>
      </c>
      <c r="AA42" t="s">
        <v>49</v>
      </c>
      <c r="AB42" t="s">
        <v>225</v>
      </c>
      <c r="AC42" s="1">
        <v>44973</v>
      </c>
      <c r="AD42">
        <f t="shared" si="5"/>
        <v>9</v>
      </c>
      <c r="AE42" t="s">
        <v>226</v>
      </c>
      <c r="AF42">
        <v>278</v>
      </c>
      <c r="AG42">
        <v>30</v>
      </c>
      <c r="AH42">
        <v>120</v>
      </c>
      <c r="AI42">
        <v>65</v>
      </c>
      <c r="AJ42">
        <v>0</v>
      </c>
      <c r="AK42">
        <f>SUM(AF42:AJ42)</f>
        <v>493</v>
      </c>
      <c r="AL42" s="12">
        <f>AK42/(Z42 - X42 - Y42)</f>
        <v>0.95542635658914732</v>
      </c>
      <c r="AM42">
        <v>2</v>
      </c>
      <c r="AN42" t="s">
        <v>227</v>
      </c>
    </row>
    <row r="43" spans="1:41" x14ac:dyDescent="0.35">
      <c r="A43">
        <v>88</v>
      </c>
      <c r="B43" s="1">
        <v>44965</v>
      </c>
      <c r="C43" t="s">
        <v>42</v>
      </c>
      <c r="D43" t="s">
        <v>228</v>
      </c>
      <c r="E43" t="s">
        <v>229</v>
      </c>
      <c r="F43" t="s">
        <v>45</v>
      </c>
      <c r="G43" t="s">
        <v>73</v>
      </c>
      <c r="H43" s="14">
        <v>93.03</v>
      </c>
      <c r="I43" s="14">
        <v>39.229999999999997</v>
      </c>
      <c r="J43" s="14">
        <v>94.94</v>
      </c>
      <c r="K43" s="14">
        <v>40.020000000000003</v>
      </c>
      <c r="L43" s="17">
        <v>-16.995999999999999</v>
      </c>
      <c r="M43" s="17">
        <v>146.202</v>
      </c>
      <c r="N43" s="17">
        <v>-16.995999999999999</v>
      </c>
      <c r="O43" s="17">
        <v>146.202</v>
      </c>
      <c r="P43">
        <v>30</v>
      </c>
      <c r="Q43" s="2">
        <v>161</v>
      </c>
      <c r="R43">
        <v>3</v>
      </c>
      <c r="S43">
        <v>1</v>
      </c>
      <c r="T43">
        <v>82</v>
      </c>
      <c r="U43" s="1">
        <v>44964</v>
      </c>
      <c r="V43" t="s">
        <v>48</v>
      </c>
      <c r="W43" s="1">
        <f t="shared" si="6"/>
        <v>44965</v>
      </c>
      <c r="X43" s="2">
        <v>10</v>
      </c>
      <c r="Y43">
        <v>0</v>
      </c>
      <c r="Z43">
        <v>494</v>
      </c>
      <c r="AA43" t="s">
        <v>49</v>
      </c>
      <c r="AB43" t="s">
        <v>230</v>
      </c>
      <c r="AC43" s="1">
        <v>44974</v>
      </c>
      <c r="AD43">
        <f t="shared" si="5"/>
        <v>9</v>
      </c>
      <c r="AE43" t="s">
        <v>47</v>
      </c>
      <c r="AF43">
        <v>0</v>
      </c>
      <c r="AG43">
        <v>30</v>
      </c>
      <c r="AH43">
        <v>90</v>
      </c>
      <c r="AI43">
        <v>0</v>
      </c>
      <c r="AJ43">
        <v>4</v>
      </c>
      <c r="AK43">
        <v>124</v>
      </c>
      <c r="AL43" s="12">
        <f>AK43/(Z43-Y43-X43)</f>
        <v>0.256198347107438</v>
      </c>
      <c r="AM43">
        <v>1</v>
      </c>
      <c r="AN43" t="s">
        <v>231</v>
      </c>
    </row>
    <row r="44" spans="1:41" x14ac:dyDescent="0.35">
      <c r="A44" s="6">
        <v>89</v>
      </c>
      <c r="B44" s="7" t="s">
        <v>47</v>
      </c>
      <c r="C44" s="6" t="s">
        <v>47</v>
      </c>
      <c r="D44" s="6" t="s">
        <v>120</v>
      </c>
      <c r="E44" s="6" t="s">
        <v>121</v>
      </c>
      <c r="F44" s="6" t="s">
        <v>62</v>
      </c>
      <c r="G44" s="6" t="s">
        <v>63</v>
      </c>
      <c r="H44" s="15">
        <v>87.56</v>
      </c>
      <c r="I44" s="15">
        <v>30.55</v>
      </c>
      <c r="J44" s="15">
        <v>86.58</v>
      </c>
      <c r="K44" s="15">
        <v>30.34</v>
      </c>
      <c r="L44" s="18">
        <v>-20.771999999999998</v>
      </c>
      <c r="M44" s="18">
        <v>149.398</v>
      </c>
      <c r="N44" s="18">
        <v>-20.771999999999998</v>
      </c>
      <c r="O44" s="18">
        <v>149.398</v>
      </c>
      <c r="P44" s="6">
        <v>28.5</v>
      </c>
      <c r="Q44" s="8">
        <v>237</v>
      </c>
      <c r="R44" s="6">
        <v>3</v>
      </c>
      <c r="S44" s="6">
        <v>3</v>
      </c>
      <c r="T44" s="6">
        <v>84</v>
      </c>
      <c r="U44" s="7">
        <v>44943</v>
      </c>
      <c r="V44" s="6" t="s">
        <v>170</v>
      </c>
      <c r="W44" s="7" t="str">
        <f t="shared" si="6"/>
        <v>NA</v>
      </c>
      <c r="X44" s="8" t="s">
        <v>47</v>
      </c>
      <c r="Y44" s="6" t="s">
        <v>47</v>
      </c>
      <c r="Z44" s="6" t="s">
        <v>47</v>
      </c>
      <c r="AA44" s="6" t="s">
        <v>47</v>
      </c>
      <c r="AB44" s="6" t="s">
        <v>47</v>
      </c>
      <c r="AC44" s="7">
        <v>44967</v>
      </c>
      <c r="AD44" s="6" t="s">
        <v>47</v>
      </c>
      <c r="AE44" s="6" t="s">
        <v>47</v>
      </c>
      <c r="AF44" s="6" t="s">
        <v>47</v>
      </c>
      <c r="AG44" s="6" t="s">
        <v>47</v>
      </c>
      <c r="AH44" s="6" t="s">
        <v>47</v>
      </c>
      <c r="AI44" s="6" t="s">
        <v>47</v>
      </c>
      <c r="AJ44" s="6" t="s">
        <v>47</v>
      </c>
      <c r="AK44" s="6" t="s">
        <v>47</v>
      </c>
      <c r="AL44" s="13" t="s">
        <v>47</v>
      </c>
      <c r="AM44" s="6">
        <v>2</v>
      </c>
      <c r="AN44" s="6" t="s">
        <v>232</v>
      </c>
      <c r="AO44" s="6" t="s">
        <v>233</v>
      </c>
    </row>
    <row r="45" spans="1:41" x14ac:dyDescent="0.35">
      <c r="A45">
        <v>90</v>
      </c>
      <c r="B45" s="1">
        <v>44967</v>
      </c>
      <c r="C45" t="s">
        <v>42</v>
      </c>
      <c r="D45" t="s">
        <v>234</v>
      </c>
      <c r="E45" t="s">
        <v>235</v>
      </c>
      <c r="F45" t="s">
        <v>45</v>
      </c>
      <c r="G45" t="s">
        <v>236</v>
      </c>
      <c r="H45" s="14">
        <v>102.28</v>
      </c>
      <c r="I45" s="14">
        <v>48.84</v>
      </c>
      <c r="J45" s="14">
        <v>104.1</v>
      </c>
      <c r="K45" s="14">
        <v>54.34</v>
      </c>
      <c r="L45" s="17">
        <v>-16.443000000000001</v>
      </c>
      <c r="M45" s="17">
        <v>145.684</v>
      </c>
      <c r="N45" s="17">
        <v>-16.443000000000001</v>
      </c>
      <c r="O45" s="17">
        <v>145.684</v>
      </c>
      <c r="P45">
        <v>28.5</v>
      </c>
      <c r="Q45" s="2">
        <v>37</v>
      </c>
      <c r="R45">
        <v>2</v>
      </c>
      <c r="S45">
        <v>1</v>
      </c>
      <c r="T45">
        <v>84</v>
      </c>
      <c r="U45" s="1">
        <v>44966</v>
      </c>
      <c r="V45" t="s">
        <v>48</v>
      </c>
      <c r="W45" s="1">
        <f t="shared" si="6"/>
        <v>44967</v>
      </c>
      <c r="X45" s="2">
        <v>11</v>
      </c>
      <c r="Y45">
        <v>1</v>
      </c>
      <c r="Z45">
        <v>492</v>
      </c>
      <c r="AA45" t="s">
        <v>49</v>
      </c>
      <c r="AB45" t="s">
        <v>237</v>
      </c>
      <c r="AC45" s="1">
        <v>44977</v>
      </c>
      <c r="AD45">
        <f t="shared" ref="AD45:AD68" si="7">AC45-B45</f>
        <v>10</v>
      </c>
      <c r="AE45" t="s">
        <v>238</v>
      </c>
      <c r="AF45">
        <v>52</v>
      </c>
      <c r="AG45">
        <v>30</v>
      </c>
      <c r="AH45">
        <v>120</v>
      </c>
      <c r="AI45">
        <v>62</v>
      </c>
      <c r="AJ45">
        <v>0</v>
      </c>
      <c r="AK45">
        <f t="shared" ref="AK45:AK63" si="8">SUM(AF45:AJ45)</f>
        <v>264</v>
      </c>
      <c r="AL45" s="12">
        <f t="shared" ref="AL45:AL63" si="9">AK45/(Z45-Y45-X45)</f>
        <v>0.55000000000000004</v>
      </c>
      <c r="AM45">
        <v>2</v>
      </c>
      <c r="AN45" t="s">
        <v>227</v>
      </c>
    </row>
    <row r="46" spans="1:41" x14ac:dyDescent="0.35">
      <c r="A46">
        <v>91</v>
      </c>
      <c r="B46" s="1">
        <v>44968</v>
      </c>
      <c r="C46" t="s">
        <v>42</v>
      </c>
      <c r="D46" t="s">
        <v>103</v>
      </c>
      <c r="E46" t="s">
        <v>104</v>
      </c>
      <c r="F46" t="s">
        <v>45</v>
      </c>
      <c r="G46" t="s">
        <v>56</v>
      </c>
      <c r="H46" s="14">
        <v>97.4</v>
      </c>
      <c r="I46" s="14">
        <v>45.17</v>
      </c>
      <c r="J46" s="14" t="s">
        <v>47</v>
      </c>
      <c r="K46" s="14" t="s">
        <v>47</v>
      </c>
      <c r="L46">
        <v>-16.702000000000002</v>
      </c>
      <c r="M46" s="17">
        <v>145.98599999999999</v>
      </c>
      <c r="N46">
        <v>-16.702000000000002</v>
      </c>
      <c r="O46" s="17">
        <v>145.98599999999999</v>
      </c>
      <c r="P46">
        <v>27</v>
      </c>
      <c r="Q46" s="2">
        <v>150</v>
      </c>
      <c r="R46">
        <v>3</v>
      </c>
      <c r="S46">
        <v>3</v>
      </c>
      <c r="T46">
        <v>85</v>
      </c>
      <c r="U46" s="1">
        <v>44966</v>
      </c>
      <c r="V46" t="s">
        <v>48</v>
      </c>
      <c r="W46" s="1">
        <f t="shared" si="6"/>
        <v>44968</v>
      </c>
      <c r="X46" s="2">
        <v>10</v>
      </c>
      <c r="Y46">
        <v>0</v>
      </c>
      <c r="Z46">
        <v>469</v>
      </c>
      <c r="AA46" t="s">
        <v>49</v>
      </c>
      <c r="AB46" t="s">
        <v>239</v>
      </c>
      <c r="AC46" s="1">
        <v>44979</v>
      </c>
      <c r="AD46">
        <f t="shared" si="7"/>
        <v>11</v>
      </c>
      <c r="AE46" t="s">
        <v>240</v>
      </c>
      <c r="AF46">
        <v>191</v>
      </c>
      <c r="AG46">
        <v>0</v>
      </c>
      <c r="AH46">
        <v>0</v>
      </c>
      <c r="AI46">
        <v>0</v>
      </c>
      <c r="AJ46">
        <v>0</v>
      </c>
      <c r="AK46">
        <f t="shared" si="8"/>
        <v>191</v>
      </c>
      <c r="AL46" s="12">
        <f t="shared" si="9"/>
        <v>0.41612200435729846</v>
      </c>
      <c r="AM46">
        <v>1</v>
      </c>
      <c r="AN46" t="s">
        <v>241</v>
      </c>
    </row>
    <row r="47" spans="1:41" x14ac:dyDescent="0.35">
      <c r="A47">
        <v>92</v>
      </c>
      <c r="B47" s="1">
        <v>44968</v>
      </c>
      <c r="C47" t="s">
        <v>42</v>
      </c>
      <c r="D47" t="s">
        <v>137</v>
      </c>
      <c r="E47" t="s">
        <v>138</v>
      </c>
      <c r="F47" t="s">
        <v>45</v>
      </c>
      <c r="G47" t="s">
        <v>73</v>
      </c>
      <c r="H47" s="14">
        <v>100</v>
      </c>
      <c r="I47" s="14">
        <v>48.28</v>
      </c>
      <c r="J47" s="14">
        <v>93.42</v>
      </c>
      <c r="K47" s="14">
        <v>45.25</v>
      </c>
      <c r="L47" s="17">
        <v>-16.995999999999999</v>
      </c>
      <c r="M47" s="17">
        <v>146.202</v>
      </c>
      <c r="N47" s="17">
        <v>-16.995999999999999</v>
      </c>
      <c r="O47" s="17">
        <v>146.202</v>
      </c>
      <c r="P47">
        <v>28.5</v>
      </c>
      <c r="Q47" s="2">
        <v>65</v>
      </c>
      <c r="R47">
        <v>2</v>
      </c>
      <c r="S47">
        <v>2</v>
      </c>
      <c r="T47">
        <v>46</v>
      </c>
      <c r="U47" s="1">
        <v>44967</v>
      </c>
      <c r="V47" t="s">
        <v>48</v>
      </c>
      <c r="W47" s="1">
        <f t="shared" si="6"/>
        <v>44968</v>
      </c>
      <c r="X47" s="2">
        <v>11</v>
      </c>
      <c r="Y47">
        <v>0</v>
      </c>
      <c r="Z47">
        <v>458</v>
      </c>
      <c r="AA47" t="s">
        <v>49</v>
      </c>
      <c r="AB47" t="s">
        <v>242</v>
      </c>
      <c r="AC47" s="1">
        <v>44977</v>
      </c>
      <c r="AD47">
        <f t="shared" si="7"/>
        <v>9</v>
      </c>
      <c r="AE47" t="s">
        <v>47</v>
      </c>
      <c r="AF47">
        <v>0</v>
      </c>
      <c r="AG47">
        <v>30</v>
      </c>
      <c r="AH47">
        <v>330</v>
      </c>
      <c r="AI47">
        <v>38</v>
      </c>
      <c r="AJ47">
        <v>38</v>
      </c>
      <c r="AK47">
        <f t="shared" si="8"/>
        <v>436</v>
      </c>
      <c r="AL47" s="12">
        <f t="shared" si="9"/>
        <v>0.97539149888143173</v>
      </c>
      <c r="AM47">
        <v>5</v>
      </c>
      <c r="AN47" t="s">
        <v>243</v>
      </c>
    </row>
    <row r="48" spans="1:41" x14ac:dyDescent="0.35">
      <c r="A48">
        <v>93</v>
      </c>
      <c r="B48" s="1">
        <v>44969</v>
      </c>
      <c r="C48" t="s">
        <v>42</v>
      </c>
      <c r="D48" t="s">
        <v>132</v>
      </c>
      <c r="E48" t="s">
        <v>133</v>
      </c>
      <c r="F48" t="s">
        <v>45</v>
      </c>
      <c r="G48" t="s">
        <v>73</v>
      </c>
      <c r="H48" s="14">
        <v>103</v>
      </c>
      <c r="I48" s="14">
        <v>50.94</v>
      </c>
      <c r="J48" s="14">
        <v>103.8</v>
      </c>
      <c r="K48" s="14">
        <v>49.03</v>
      </c>
      <c r="L48" s="17">
        <v>-16.995999999999999</v>
      </c>
      <c r="M48" s="17">
        <v>146.202</v>
      </c>
      <c r="N48" s="17">
        <v>-16.995999999999999</v>
      </c>
      <c r="O48" s="17">
        <v>146.202</v>
      </c>
      <c r="P48">
        <v>27</v>
      </c>
      <c r="Q48" s="2">
        <v>172</v>
      </c>
      <c r="R48">
        <v>3</v>
      </c>
      <c r="S48">
        <v>3</v>
      </c>
      <c r="T48">
        <v>86</v>
      </c>
      <c r="U48" s="1">
        <v>44968</v>
      </c>
      <c r="V48" t="s">
        <v>48</v>
      </c>
      <c r="W48" s="1">
        <f t="shared" si="6"/>
        <v>44969</v>
      </c>
      <c r="X48" s="2">
        <v>10</v>
      </c>
      <c r="Y48">
        <v>0</v>
      </c>
      <c r="Z48">
        <v>505</v>
      </c>
      <c r="AA48" t="s">
        <v>49</v>
      </c>
      <c r="AB48" t="s">
        <v>244</v>
      </c>
      <c r="AC48" s="1">
        <v>44981</v>
      </c>
      <c r="AD48">
        <f t="shared" si="7"/>
        <v>12</v>
      </c>
      <c r="AE48" t="s">
        <v>245</v>
      </c>
      <c r="AF48">
        <v>144</v>
      </c>
      <c r="AG48">
        <v>30</v>
      </c>
      <c r="AH48">
        <v>90</v>
      </c>
      <c r="AI48">
        <v>0</v>
      </c>
      <c r="AJ48">
        <v>0</v>
      </c>
      <c r="AK48">
        <f t="shared" si="8"/>
        <v>264</v>
      </c>
      <c r="AL48" s="12">
        <f t="shared" si="9"/>
        <v>0.53333333333333333</v>
      </c>
      <c r="AM48">
        <v>1</v>
      </c>
      <c r="AN48" t="s">
        <v>202</v>
      </c>
    </row>
    <row r="49" spans="1:41" x14ac:dyDescent="0.35">
      <c r="A49">
        <v>94</v>
      </c>
      <c r="B49" s="1">
        <v>44969</v>
      </c>
      <c r="C49" t="s">
        <v>42</v>
      </c>
      <c r="D49" t="s">
        <v>246</v>
      </c>
      <c r="E49" t="s">
        <v>247</v>
      </c>
      <c r="F49" t="s">
        <v>45</v>
      </c>
      <c r="G49" t="s">
        <v>46</v>
      </c>
      <c r="H49" s="14">
        <v>103.62</v>
      </c>
      <c r="I49" s="14">
        <v>61.46</v>
      </c>
      <c r="J49" s="14">
        <v>108.42</v>
      </c>
      <c r="K49" s="14">
        <v>62.4</v>
      </c>
      <c r="L49" s="17">
        <v>-16.622</v>
      </c>
      <c r="M49" s="17">
        <v>146.04230000000001</v>
      </c>
      <c r="N49" s="17">
        <v>-16.622</v>
      </c>
      <c r="O49" s="17">
        <v>146.04230000000001</v>
      </c>
      <c r="P49">
        <v>28.5</v>
      </c>
      <c r="Q49" s="2">
        <v>14</v>
      </c>
      <c r="R49">
        <v>2</v>
      </c>
      <c r="S49">
        <v>1</v>
      </c>
      <c r="T49">
        <v>86</v>
      </c>
      <c r="U49" s="1">
        <v>44968</v>
      </c>
      <c r="V49" t="s">
        <v>48</v>
      </c>
      <c r="W49" s="1">
        <f t="shared" si="6"/>
        <v>44969</v>
      </c>
      <c r="X49" s="2">
        <v>10</v>
      </c>
      <c r="Y49">
        <v>0</v>
      </c>
      <c r="Z49">
        <v>589</v>
      </c>
      <c r="AA49" t="s">
        <v>49</v>
      </c>
      <c r="AB49" t="s">
        <v>248</v>
      </c>
      <c r="AC49" s="1">
        <v>44978</v>
      </c>
      <c r="AD49">
        <f t="shared" si="7"/>
        <v>9</v>
      </c>
      <c r="AE49" t="s">
        <v>249</v>
      </c>
      <c r="AF49">
        <v>384</v>
      </c>
      <c r="AG49">
        <v>30</v>
      </c>
      <c r="AH49">
        <v>80</v>
      </c>
      <c r="AI49">
        <v>0</v>
      </c>
      <c r="AJ49">
        <v>0</v>
      </c>
      <c r="AK49">
        <f t="shared" si="8"/>
        <v>494</v>
      </c>
      <c r="AL49" s="12">
        <f t="shared" si="9"/>
        <v>0.85319516407599305</v>
      </c>
      <c r="AM49">
        <v>4</v>
      </c>
      <c r="AN49" t="s">
        <v>250</v>
      </c>
    </row>
    <row r="50" spans="1:41" x14ac:dyDescent="0.35">
      <c r="A50">
        <v>95</v>
      </c>
      <c r="B50" s="1">
        <v>44970</v>
      </c>
      <c r="C50" t="s">
        <v>42</v>
      </c>
      <c r="D50" t="s">
        <v>251</v>
      </c>
      <c r="E50" t="s">
        <v>252</v>
      </c>
      <c r="F50" t="s">
        <v>45</v>
      </c>
      <c r="G50" t="s">
        <v>46</v>
      </c>
      <c r="H50" s="14">
        <v>103.84</v>
      </c>
      <c r="I50" s="14">
        <v>50.7</v>
      </c>
      <c r="J50" s="14">
        <v>103.5</v>
      </c>
      <c r="K50" s="14">
        <v>59.23</v>
      </c>
      <c r="L50" s="17">
        <v>-16.622</v>
      </c>
      <c r="M50" s="17">
        <v>146.04230000000001</v>
      </c>
      <c r="N50" s="17">
        <v>-16.622</v>
      </c>
      <c r="O50" s="17">
        <v>146.04230000000001</v>
      </c>
      <c r="P50">
        <v>28.5</v>
      </c>
      <c r="Q50" s="2">
        <v>50</v>
      </c>
      <c r="R50">
        <v>2</v>
      </c>
      <c r="S50">
        <v>1</v>
      </c>
      <c r="T50">
        <v>87</v>
      </c>
      <c r="U50" s="1">
        <v>44969</v>
      </c>
      <c r="V50" t="s">
        <v>48</v>
      </c>
      <c r="W50" s="1">
        <f t="shared" si="6"/>
        <v>44970</v>
      </c>
      <c r="X50" s="2">
        <v>10</v>
      </c>
      <c r="Y50">
        <v>0</v>
      </c>
      <c r="Z50">
        <v>524</v>
      </c>
      <c r="AA50" t="s">
        <v>49</v>
      </c>
      <c r="AB50" t="s">
        <v>253</v>
      </c>
      <c r="AC50" s="1">
        <v>44978</v>
      </c>
      <c r="AD50">
        <f t="shared" si="7"/>
        <v>8</v>
      </c>
      <c r="AE50" t="s">
        <v>254</v>
      </c>
      <c r="AF50">
        <v>346</v>
      </c>
      <c r="AG50">
        <v>30</v>
      </c>
      <c r="AH50">
        <v>80</v>
      </c>
      <c r="AI50">
        <v>10</v>
      </c>
      <c r="AJ50">
        <v>0</v>
      </c>
      <c r="AK50">
        <f t="shared" si="8"/>
        <v>466</v>
      </c>
      <c r="AL50" s="12">
        <f t="shared" si="9"/>
        <v>0.9066147859922179</v>
      </c>
      <c r="AM50">
        <v>4</v>
      </c>
      <c r="AN50" t="s">
        <v>255</v>
      </c>
    </row>
    <row r="51" spans="1:41" x14ac:dyDescent="0.35">
      <c r="A51">
        <v>96</v>
      </c>
      <c r="B51" s="1">
        <v>44970</v>
      </c>
      <c r="C51" t="s">
        <v>42</v>
      </c>
      <c r="D51" t="s">
        <v>256</v>
      </c>
      <c r="E51" t="s">
        <v>257</v>
      </c>
      <c r="F51" t="s">
        <v>45</v>
      </c>
      <c r="G51" t="s">
        <v>56</v>
      </c>
      <c r="H51" s="14">
        <v>81.599999999999994</v>
      </c>
      <c r="I51" s="14">
        <v>24.19</v>
      </c>
      <c r="J51" s="14">
        <v>82.28</v>
      </c>
      <c r="K51" s="14">
        <v>27.2</v>
      </c>
      <c r="L51">
        <v>-16.702000000000002</v>
      </c>
      <c r="M51" s="17">
        <v>145.98599999999999</v>
      </c>
      <c r="N51">
        <v>-16.702000000000002</v>
      </c>
      <c r="O51" s="17">
        <v>145.98599999999999</v>
      </c>
      <c r="P51">
        <v>28.5</v>
      </c>
      <c r="Q51" s="2">
        <v>106</v>
      </c>
      <c r="R51">
        <v>2</v>
      </c>
      <c r="S51">
        <v>1</v>
      </c>
      <c r="T51">
        <v>87</v>
      </c>
      <c r="U51" s="1">
        <v>44969</v>
      </c>
      <c r="V51" t="s">
        <v>48</v>
      </c>
      <c r="W51" s="1">
        <f t="shared" si="6"/>
        <v>44970</v>
      </c>
      <c r="X51" s="2">
        <v>10</v>
      </c>
      <c r="Y51">
        <v>0</v>
      </c>
      <c r="Z51">
        <v>439</v>
      </c>
      <c r="AA51" t="s">
        <v>49</v>
      </c>
      <c r="AB51" t="s">
        <v>258</v>
      </c>
      <c r="AC51" s="1">
        <v>44980</v>
      </c>
      <c r="AD51">
        <f t="shared" si="7"/>
        <v>10</v>
      </c>
      <c r="AE51" t="s">
        <v>259</v>
      </c>
      <c r="AF51">
        <v>40</v>
      </c>
      <c r="AG51">
        <v>30</v>
      </c>
      <c r="AH51">
        <v>210</v>
      </c>
      <c r="AI51">
        <v>0</v>
      </c>
      <c r="AJ51">
        <v>0</v>
      </c>
      <c r="AK51">
        <f t="shared" si="8"/>
        <v>280</v>
      </c>
      <c r="AL51" s="12">
        <f t="shared" si="9"/>
        <v>0.65268065268065267</v>
      </c>
      <c r="AM51">
        <v>3</v>
      </c>
      <c r="AN51" t="s">
        <v>260</v>
      </c>
    </row>
    <row r="52" spans="1:41" x14ac:dyDescent="0.35">
      <c r="A52">
        <v>97</v>
      </c>
      <c r="B52" s="1">
        <v>44970</v>
      </c>
      <c r="C52" t="s">
        <v>42</v>
      </c>
      <c r="D52" t="s">
        <v>83</v>
      </c>
      <c r="E52" t="s">
        <v>84</v>
      </c>
      <c r="F52" t="s">
        <v>45</v>
      </c>
      <c r="G52" t="s">
        <v>56</v>
      </c>
      <c r="H52" s="14">
        <v>93.41</v>
      </c>
      <c r="I52" s="14">
        <v>41.41</v>
      </c>
      <c r="J52" s="14">
        <v>94.34</v>
      </c>
      <c r="K52" s="14">
        <v>38.92</v>
      </c>
      <c r="L52">
        <v>-16.702000000000002</v>
      </c>
      <c r="M52" s="17">
        <v>145.98599999999999</v>
      </c>
      <c r="N52">
        <v>-16.702000000000002</v>
      </c>
      <c r="O52" s="17">
        <v>145.98599999999999</v>
      </c>
      <c r="P52">
        <v>30</v>
      </c>
      <c r="Q52" s="2">
        <v>109</v>
      </c>
      <c r="R52">
        <v>3</v>
      </c>
      <c r="S52">
        <v>3</v>
      </c>
      <c r="T52">
        <v>87</v>
      </c>
      <c r="U52" s="1">
        <v>44969</v>
      </c>
      <c r="V52" t="s">
        <v>48</v>
      </c>
      <c r="W52" s="1">
        <f t="shared" si="6"/>
        <v>44970</v>
      </c>
      <c r="X52" s="2">
        <v>10</v>
      </c>
      <c r="Y52">
        <v>0</v>
      </c>
      <c r="Z52">
        <v>542</v>
      </c>
      <c r="AA52" t="s">
        <v>49</v>
      </c>
      <c r="AB52" t="s">
        <v>261</v>
      </c>
      <c r="AC52" s="1">
        <v>44980</v>
      </c>
      <c r="AD52">
        <f t="shared" si="7"/>
        <v>10</v>
      </c>
      <c r="AE52" t="s">
        <v>262</v>
      </c>
      <c r="AF52">
        <v>332</v>
      </c>
      <c r="AG52">
        <v>0</v>
      </c>
      <c r="AH52">
        <v>0</v>
      </c>
      <c r="AI52">
        <v>0</v>
      </c>
      <c r="AJ52">
        <v>0</v>
      </c>
      <c r="AK52">
        <f t="shared" si="8"/>
        <v>332</v>
      </c>
      <c r="AL52" s="20">
        <f t="shared" si="9"/>
        <v>0.62406015037593987</v>
      </c>
      <c r="AM52" s="21">
        <v>0</v>
      </c>
      <c r="AN52" s="21" t="s">
        <v>209</v>
      </c>
      <c r="AO52" s="21" t="s">
        <v>263</v>
      </c>
    </row>
    <row r="53" spans="1:41" x14ac:dyDescent="0.35">
      <c r="A53">
        <v>98</v>
      </c>
      <c r="B53" s="1">
        <v>44971</v>
      </c>
      <c r="C53" t="s">
        <v>42</v>
      </c>
      <c r="D53" t="s">
        <v>88</v>
      </c>
      <c r="E53" t="s">
        <v>89</v>
      </c>
      <c r="F53" t="s">
        <v>45</v>
      </c>
      <c r="G53" t="s">
        <v>79</v>
      </c>
      <c r="H53" s="14">
        <v>91.88</v>
      </c>
      <c r="I53" s="14">
        <v>36.33</v>
      </c>
      <c r="J53" s="14">
        <v>98.46</v>
      </c>
      <c r="K53" s="14">
        <v>48.79</v>
      </c>
      <c r="L53" s="17">
        <v>-16.657</v>
      </c>
      <c r="M53" s="17">
        <v>145.99</v>
      </c>
      <c r="N53" s="17">
        <v>-16.657</v>
      </c>
      <c r="O53" s="17">
        <v>145.99</v>
      </c>
      <c r="P53">
        <v>30</v>
      </c>
      <c r="Q53" s="2">
        <v>105</v>
      </c>
      <c r="R53">
        <v>3</v>
      </c>
      <c r="S53">
        <v>5</v>
      </c>
      <c r="T53">
        <v>88</v>
      </c>
      <c r="U53" s="1">
        <v>44970</v>
      </c>
      <c r="V53" t="s">
        <v>48</v>
      </c>
      <c r="W53" s="1">
        <f t="shared" si="6"/>
        <v>44971</v>
      </c>
      <c r="X53" s="2">
        <v>10</v>
      </c>
      <c r="Y53">
        <v>0</v>
      </c>
      <c r="Z53">
        <v>476</v>
      </c>
      <c r="AA53" t="s">
        <v>49</v>
      </c>
      <c r="AB53" t="s">
        <v>264</v>
      </c>
      <c r="AC53" s="1">
        <v>44980</v>
      </c>
      <c r="AD53">
        <f t="shared" si="7"/>
        <v>9</v>
      </c>
      <c r="AE53" t="s">
        <v>265</v>
      </c>
      <c r="AF53">
        <v>367</v>
      </c>
      <c r="AG53">
        <v>30</v>
      </c>
      <c r="AH53">
        <v>0</v>
      </c>
      <c r="AI53">
        <v>0</v>
      </c>
      <c r="AJ53">
        <v>0</v>
      </c>
      <c r="AK53">
        <f t="shared" si="8"/>
        <v>397</v>
      </c>
      <c r="AL53" s="12">
        <f t="shared" si="9"/>
        <v>0.85193133047210301</v>
      </c>
      <c r="AM53">
        <v>0</v>
      </c>
      <c r="AN53" t="s">
        <v>266</v>
      </c>
      <c r="AO53" t="s">
        <v>267</v>
      </c>
    </row>
    <row r="54" spans="1:41" x14ac:dyDescent="0.35">
      <c r="A54">
        <v>99</v>
      </c>
      <c r="B54" s="1">
        <v>44971</v>
      </c>
      <c r="C54" t="s">
        <v>42</v>
      </c>
      <c r="D54" t="s">
        <v>268</v>
      </c>
      <c r="E54" t="s">
        <v>269</v>
      </c>
      <c r="F54" t="s">
        <v>45</v>
      </c>
      <c r="G54" t="s">
        <v>56</v>
      </c>
      <c r="H54" s="14">
        <v>93.52</v>
      </c>
      <c r="I54" s="14">
        <v>40</v>
      </c>
      <c r="J54" s="14">
        <v>92.04</v>
      </c>
      <c r="K54" s="14">
        <v>38.729999999999997</v>
      </c>
      <c r="L54">
        <v>-16.702000000000002</v>
      </c>
      <c r="M54" s="17">
        <v>145.98599999999999</v>
      </c>
      <c r="N54">
        <v>-16.702000000000002</v>
      </c>
      <c r="O54" s="17">
        <v>145.98599999999999</v>
      </c>
      <c r="P54">
        <v>28.5</v>
      </c>
      <c r="Q54" s="2">
        <v>238</v>
      </c>
      <c r="R54">
        <v>3</v>
      </c>
      <c r="S54">
        <v>1</v>
      </c>
      <c r="T54">
        <v>88</v>
      </c>
      <c r="U54" s="1">
        <v>44970</v>
      </c>
      <c r="V54" t="s">
        <v>48</v>
      </c>
      <c r="W54" s="1">
        <f t="shared" si="6"/>
        <v>44971</v>
      </c>
      <c r="X54" s="2">
        <v>10</v>
      </c>
      <c r="Y54">
        <v>0</v>
      </c>
      <c r="Z54">
        <v>758</v>
      </c>
      <c r="AA54" t="s">
        <v>49</v>
      </c>
      <c r="AB54" t="s">
        <v>270</v>
      </c>
      <c r="AC54" s="1">
        <v>44980</v>
      </c>
      <c r="AD54">
        <f t="shared" si="7"/>
        <v>9</v>
      </c>
      <c r="AE54" t="s">
        <v>271</v>
      </c>
      <c r="AF54">
        <v>76</v>
      </c>
      <c r="AG54">
        <v>30</v>
      </c>
      <c r="AH54">
        <v>210</v>
      </c>
      <c r="AI54">
        <v>0</v>
      </c>
      <c r="AJ54">
        <v>19</v>
      </c>
      <c r="AK54">
        <f t="shared" si="8"/>
        <v>335</v>
      </c>
      <c r="AL54" s="12">
        <f t="shared" si="9"/>
        <v>0.44786096256684493</v>
      </c>
      <c r="AM54">
        <v>3</v>
      </c>
      <c r="AN54" t="s">
        <v>272</v>
      </c>
    </row>
    <row r="55" spans="1:41" x14ac:dyDescent="0.35">
      <c r="A55">
        <v>100</v>
      </c>
      <c r="B55" s="1">
        <v>44972</v>
      </c>
      <c r="C55" t="s">
        <v>42</v>
      </c>
      <c r="D55" t="s">
        <v>273</v>
      </c>
      <c r="E55" t="s">
        <v>274</v>
      </c>
      <c r="F55" t="s">
        <v>45</v>
      </c>
      <c r="G55" t="s">
        <v>56</v>
      </c>
      <c r="H55" s="14">
        <v>87.08</v>
      </c>
      <c r="I55" s="14">
        <v>29.75</v>
      </c>
      <c r="J55" s="14">
        <v>82.8</v>
      </c>
      <c r="K55" s="14">
        <v>27.63</v>
      </c>
      <c r="L55">
        <v>-16.702000000000002</v>
      </c>
      <c r="M55" s="17">
        <v>145.98599999999999</v>
      </c>
      <c r="N55">
        <v>-16.702000000000002</v>
      </c>
      <c r="O55" s="17">
        <v>145.98599999999999</v>
      </c>
      <c r="P55">
        <v>30</v>
      </c>
      <c r="Q55" s="2">
        <v>166</v>
      </c>
      <c r="R55">
        <v>3</v>
      </c>
      <c r="S55">
        <v>1</v>
      </c>
      <c r="T55">
        <v>55</v>
      </c>
      <c r="U55" s="1">
        <v>44971</v>
      </c>
      <c r="V55" t="s">
        <v>48</v>
      </c>
      <c r="W55" s="1">
        <f t="shared" si="6"/>
        <v>44972</v>
      </c>
      <c r="X55" s="2">
        <v>11</v>
      </c>
      <c r="Y55">
        <v>2</v>
      </c>
      <c r="Z55">
        <v>304</v>
      </c>
      <c r="AA55" t="s">
        <v>49</v>
      </c>
      <c r="AB55" t="s">
        <v>275</v>
      </c>
      <c r="AC55" s="1">
        <v>44981</v>
      </c>
      <c r="AD55">
        <f t="shared" si="7"/>
        <v>9</v>
      </c>
      <c r="AE55" t="s">
        <v>47</v>
      </c>
      <c r="AF55">
        <v>0</v>
      </c>
      <c r="AG55">
        <v>30</v>
      </c>
      <c r="AH55">
        <v>90</v>
      </c>
      <c r="AI55">
        <v>8</v>
      </c>
      <c r="AJ55">
        <v>15</v>
      </c>
      <c r="AK55">
        <f t="shared" si="8"/>
        <v>143</v>
      </c>
      <c r="AL55" s="12">
        <f t="shared" si="9"/>
        <v>0.49140893470790376</v>
      </c>
      <c r="AM55">
        <v>1</v>
      </c>
      <c r="AN55" t="s">
        <v>276</v>
      </c>
    </row>
    <row r="56" spans="1:41" x14ac:dyDescent="0.35">
      <c r="A56">
        <v>101</v>
      </c>
      <c r="B56" s="1">
        <v>44972</v>
      </c>
      <c r="C56" t="s">
        <v>42</v>
      </c>
      <c r="D56" t="s">
        <v>142</v>
      </c>
      <c r="E56" t="s">
        <v>143</v>
      </c>
      <c r="F56" t="s">
        <v>62</v>
      </c>
      <c r="G56" t="s">
        <v>144</v>
      </c>
      <c r="H56" s="14">
        <v>90</v>
      </c>
      <c r="I56" s="14">
        <v>33.61</v>
      </c>
      <c r="J56" s="14">
        <v>91.51</v>
      </c>
      <c r="K56" s="14" t="s">
        <v>47</v>
      </c>
      <c r="L56" s="17">
        <v>-20.927</v>
      </c>
      <c r="M56" s="17">
        <v>149.66249999999999</v>
      </c>
      <c r="N56" s="17">
        <v>-20.927</v>
      </c>
      <c r="O56" s="17">
        <v>149.66249999999999</v>
      </c>
      <c r="P56">
        <v>28.5</v>
      </c>
      <c r="Q56" s="2">
        <v>233</v>
      </c>
      <c r="R56">
        <v>3</v>
      </c>
      <c r="S56">
        <v>3</v>
      </c>
      <c r="T56">
        <v>89</v>
      </c>
      <c r="U56" s="1">
        <v>44971</v>
      </c>
      <c r="V56" t="s">
        <v>48</v>
      </c>
      <c r="W56" s="1">
        <f t="shared" si="6"/>
        <v>44972</v>
      </c>
      <c r="X56" s="2">
        <v>10</v>
      </c>
      <c r="Y56">
        <v>1</v>
      </c>
      <c r="Z56">
        <v>294</v>
      </c>
      <c r="AA56" t="s">
        <v>49</v>
      </c>
      <c r="AB56" t="s">
        <v>277</v>
      </c>
      <c r="AC56" s="1">
        <v>44982</v>
      </c>
      <c r="AD56">
        <f t="shared" si="7"/>
        <v>10</v>
      </c>
      <c r="AE56" t="s">
        <v>278</v>
      </c>
      <c r="AF56">
        <v>107</v>
      </c>
      <c r="AG56">
        <v>30</v>
      </c>
      <c r="AH56">
        <v>120</v>
      </c>
      <c r="AI56">
        <v>4</v>
      </c>
      <c r="AJ56">
        <v>0</v>
      </c>
      <c r="AK56">
        <f t="shared" si="8"/>
        <v>261</v>
      </c>
      <c r="AL56" s="12">
        <f t="shared" si="9"/>
        <v>0.92226148409893993</v>
      </c>
      <c r="AM56">
        <v>2</v>
      </c>
      <c r="AN56" t="s">
        <v>279</v>
      </c>
    </row>
    <row r="57" spans="1:41" x14ac:dyDescent="0.35">
      <c r="A57">
        <v>102</v>
      </c>
      <c r="B57" s="1">
        <v>44974</v>
      </c>
      <c r="C57" t="s">
        <v>42</v>
      </c>
      <c r="D57" t="s">
        <v>179</v>
      </c>
      <c r="E57" t="s">
        <v>180</v>
      </c>
      <c r="F57" t="s">
        <v>62</v>
      </c>
      <c r="G57" t="s">
        <v>175</v>
      </c>
      <c r="H57" s="14">
        <v>85.1</v>
      </c>
      <c r="I57" s="14">
        <v>28.44</v>
      </c>
      <c r="J57" s="14">
        <v>90.92</v>
      </c>
      <c r="K57" s="14">
        <v>36.71</v>
      </c>
      <c r="L57" s="17">
        <v>-20.863</v>
      </c>
      <c r="M57" s="17">
        <v>150.363</v>
      </c>
      <c r="N57" s="17">
        <v>-20.927</v>
      </c>
      <c r="O57" s="17">
        <v>149.66249999999999</v>
      </c>
      <c r="P57">
        <v>28.5</v>
      </c>
      <c r="Q57" s="2">
        <v>244</v>
      </c>
      <c r="R57">
        <v>3</v>
      </c>
      <c r="S57">
        <v>3</v>
      </c>
      <c r="T57">
        <v>91</v>
      </c>
      <c r="U57" s="1">
        <v>44973</v>
      </c>
      <c r="V57" t="s">
        <v>48</v>
      </c>
      <c r="W57" s="1">
        <f t="shared" si="6"/>
        <v>44974</v>
      </c>
      <c r="X57" s="2">
        <v>10</v>
      </c>
      <c r="Y57">
        <v>2</v>
      </c>
      <c r="Z57">
        <v>493</v>
      </c>
      <c r="AA57" t="s">
        <v>49</v>
      </c>
      <c r="AB57" t="s">
        <v>280</v>
      </c>
      <c r="AC57" s="1">
        <v>44984</v>
      </c>
      <c r="AD57">
        <f t="shared" si="7"/>
        <v>10</v>
      </c>
      <c r="AE57" t="s">
        <v>47</v>
      </c>
      <c r="AF57">
        <v>0</v>
      </c>
      <c r="AG57">
        <v>39</v>
      </c>
      <c r="AH57">
        <v>120</v>
      </c>
      <c r="AI57">
        <v>51</v>
      </c>
      <c r="AJ57">
        <v>0</v>
      </c>
      <c r="AK57">
        <f t="shared" si="8"/>
        <v>210</v>
      </c>
      <c r="AL57" s="12">
        <f t="shared" si="9"/>
        <v>0.43659043659043661</v>
      </c>
      <c r="AM57">
        <v>2</v>
      </c>
      <c r="AN57" t="s">
        <v>281</v>
      </c>
    </row>
    <row r="58" spans="1:41" x14ac:dyDescent="0.35">
      <c r="A58">
        <v>103</v>
      </c>
      <c r="B58" s="1">
        <v>44977</v>
      </c>
      <c r="C58" t="s">
        <v>42</v>
      </c>
      <c r="D58" t="s">
        <v>98</v>
      </c>
      <c r="E58" t="s">
        <v>99</v>
      </c>
      <c r="F58" t="s">
        <v>45</v>
      </c>
      <c r="G58" t="s">
        <v>56</v>
      </c>
      <c r="H58" s="14">
        <v>78.400000000000006</v>
      </c>
      <c r="I58" s="14">
        <v>23.15</v>
      </c>
      <c r="J58" s="14">
        <v>72.47</v>
      </c>
      <c r="K58" s="14">
        <v>16.28</v>
      </c>
      <c r="L58">
        <v>-16.702000000000002</v>
      </c>
      <c r="M58" s="17">
        <v>145.98599999999999</v>
      </c>
      <c r="N58">
        <v>-16.702000000000002</v>
      </c>
      <c r="O58" s="17">
        <v>145.98599999999999</v>
      </c>
      <c r="P58">
        <v>28.5</v>
      </c>
      <c r="Q58" s="2">
        <v>144</v>
      </c>
      <c r="R58">
        <v>3</v>
      </c>
      <c r="S58">
        <v>4</v>
      </c>
      <c r="T58">
        <v>94</v>
      </c>
      <c r="U58" s="1">
        <v>44976</v>
      </c>
      <c r="V58" t="s">
        <v>48</v>
      </c>
      <c r="W58" s="1">
        <f t="shared" si="6"/>
        <v>44977</v>
      </c>
      <c r="X58" s="2">
        <v>11</v>
      </c>
      <c r="Y58">
        <v>0</v>
      </c>
      <c r="Z58">
        <v>283</v>
      </c>
      <c r="AA58" t="s">
        <v>49</v>
      </c>
      <c r="AB58" t="s">
        <v>282</v>
      </c>
      <c r="AC58" s="1">
        <v>44987</v>
      </c>
      <c r="AD58">
        <f t="shared" si="7"/>
        <v>10</v>
      </c>
      <c r="AE58" t="s">
        <v>283</v>
      </c>
      <c r="AF58">
        <v>177</v>
      </c>
      <c r="AG58">
        <v>0</v>
      </c>
      <c r="AH58">
        <v>0</v>
      </c>
      <c r="AI58">
        <v>0</v>
      </c>
      <c r="AJ58">
        <v>0</v>
      </c>
      <c r="AK58">
        <f t="shared" si="8"/>
        <v>177</v>
      </c>
      <c r="AL58" s="12">
        <f t="shared" si="9"/>
        <v>0.65073529411764708</v>
      </c>
      <c r="AM58">
        <v>0</v>
      </c>
      <c r="AN58" t="s">
        <v>241</v>
      </c>
    </row>
    <row r="59" spans="1:41" x14ac:dyDescent="0.35">
      <c r="A59">
        <v>104</v>
      </c>
      <c r="B59" s="1">
        <v>44979</v>
      </c>
      <c r="C59" t="s">
        <v>42</v>
      </c>
      <c r="D59" t="s">
        <v>284</v>
      </c>
      <c r="E59" t="s">
        <v>285</v>
      </c>
      <c r="F59" t="s">
        <v>45</v>
      </c>
      <c r="G59" t="s">
        <v>46</v>
      </c>
      <c r="H59" s="14">
        <v>101.1</v>
      </c>
      <c r="I59" s="14">
        <v>49.82</v>
      </c>
      <c r="J59" s="14">
        <v>101.22</v>
      </c>
      <c r="K59" s="14">
        <v>49.27</v>
      </c>
      <c r="L59" s="17">
        <v>-16.622</v>
      </c>
      <c r="M59" s="17">
        <v>146.04230000000001</v>
      </c>
      <c r="N59" s="17">
        <v>-16.622</v>
      </c>
      <c r="O59" s="17">
        <v>146.04230000000001</v>
      </c>
      <c r="P59">
        <v>30</v>
      </c>
      <c r="Q59" s="2">
        <v>103</v>
      </c>
      <c r="R59">
        <v>3</v>
      </c>
      <c r="S59">
        <v>1</v>
      </c>
      <c r="T59">
        <v>96</v>
      </c>
      <c r="U59" s="1">
        <v>44978</v>
      </c>
      <c r="V59" t="s">
        <v>48</v>
      </c>
      <c r="W59" s="1">
        <f t="shared" si="6"/>
        <v>44979</v>
      </c>
      <c r="X59" s="2">
        <v>12</v>
      </c>
      <c r="Y59">
        <v>3</v>
      </c>
      <c r="Z59">
        <v>478</v>
      </c>
      <c r="AA59" t="s">
        <v>49</v>
      </c>
      <c r="AB59" t="s">
        <v>286</v>
      </c>
      <c r="AC59" s="1">
        <v>44988</v>
      </c>
      <c r="AD59">
        <f t="shared" si="7"/>
        <v>9</v>
      </c>
      <c r="AE59" t="s">
        <v>287</v>
      </c>
      <c r="AF59">
        <v>305</v>
      </c>
      <c r="AG59">
        <v>30</v>
      </c>
      <c r="AH59">
        <v>90</v>
      </c>
      <c r="AI59">
        <v>0</v>
      </c>
      <c r="AJ59">
        <v>0</v>
      </c>
      <c r="AK59">
        <f t="shared" si="8"/>
        <v>425</v>
      </c>
      <c r="AL59" s="12">
        <f t="shared" si="9"/>
        <v>0.91792656587472998</v>
      </c>
      <c r="AM59">
        <v>1</v>
      </c>
      <c r="AN59" t="s">
        <v>202</v>
      </c>
    </row>
    <row r="60" spans="1:41" x14ac:dyDescent="0.35">
      <c r="A60">
        <v>105</v>
      </c>
      <c r="B60" s="1">
        <v>44979</v>
      </c>
      <c r="C60" t="s">
        <v>42</v>
      </c>
      <c r="D60" t="s">
        <v>148</v>
      </c>
      <c r="E60" t="s">
        <v>149</v>
      </c>
      <c r="F60" t="s">
        <v>45</v>
      </c>
      <c r="G60" t="s">
        <v>46</v>
      </c>
      <c r="H60" s="14">
        <v>102.52</v>
      </c>
      <c r="I60" s="14">
        <v>54.28</v>
      </c>
      <c r="J60" s="14">
        <v>101.42</v>
      </c>
      <c r="K60" s="14">
        <v>55.75</v>
      </c>
      <c r="L60" s="17">
        <v>-16.622</v>
      </c>
      <c r="M60" s="17">
        <v>146.04230000000001</v>
      </c>
      <c r="N60" s="17">
        <v>-16.622</v>
      </c>
      <c r="O60" s="17">
        <v>146.04230000000001</v>
      </c>
      <c r="P60">
        <v>27</v>
      </c>
      <c r="Q60" s="2">
        <v>268</v>
      </c>
      <c r="R60">
        <v>3</v>
      </c>
      <c r="S60">
        <v>2</v>
      </c>
      <c r="T60">
        <v>96</v>
      </c>
      <c r="U60" s="1">
        <v>44978</v>
      </c>
      <c r="V60" t="s">
        <v>48</v>
      </c>
      <c r="W60" s="1">
        <f t="shared" si="6"/>
        <v>44979</v>
      </c>
      <c r="X60" s="2">
        <v>10</v>
      </c>
      <c r="Y60">
        <v>0</v>
      </c>
      <c r="Z60">
        <v>610</v>
      </c>
      <c r="AA60" t="s">
        <v>49</v>
      </c>
      <c r="AB60" t="s">
        <v>288</v>
      </c>
      <c r="AC60" s="1">
        <v>44990</v>
      </c>
      <c r="AD60">
        <f t="shared" si="7"/>
        <v>11</v>
      </c>
      <c r="AE60" t="s">
        <v>289</v>
      </c>
      <c r="AF60">
        <v>468</v>
      </c>
      <c r="AG60">
        <v>30</v>
      </c>
      <c r="AH60">
        <v>90</v>
      </c>
      <c r="AI60">
        <v>0</v>
      </c>
      <c r="AJ60">
        <v>0</v>
      </c>
      <c r="AK60">
        <f t="shared" si="8"/>
        <v>588</v>
      </c>
      <c r="AL60" s="12">
        <f t="shared" si="9"/>
        <v>0.98</v>
      </c>
      <c r="AM60">
        <v>1</v>
      </c>
      <c r="AN60" t="s">
        <v>202</v>
      </c>
    </row>
    <row r="61" spans="1:41" x14ac:dyDescent="0.35">
      <c r="A61">
        <v>106</v>
      </c>
      <c r="B61" s="1">
        <v>44979</v>
      </c>
      <c r="C61" t="s">
        <v>42</v>
      </c>
      <c r="D61" t="s">
        <v>71</v>
      </c>
      <c r="E61" t="s">
        <v>72</v>
      </c>
      <c r="F61" t="s">
        <v>45</v>
      </c>
      <c r="G61" t="s">
        <v>73</v>
      </c>
      <c r="H61" s="14">
        <v>98.82</v>
      </c>
      <c r="I61" s="14">
        <v>52.14</v>
      </c>
      <c r="J61" s="14">
        <v>103.54</v>
      </c>
      <c r="K61" s="14">
        <v>58.3</v>
      </c>
      <c r="L61" s="17">
        <v>-16.995999999999999</v>
      </c>
      <c r="M61" s="17">
        <v>146.202</v>
      </c>
      <c r="N61" s="17">
        <v>-16.995999999999999</v>
      </c>
      <c r="O61" s="17">
        <v>146.202</v>
      </c>
      <c r="P61">
        <v>27</v>
      </c>
      <c r="Q61" s="2">
        <v>271</v>
      </c>
      <c r="R61">
        <v>3</v>
      </c>
      <c r="S61">
        <v>4</v>
      </c>
      <c r="T61">
        <v>96</v>
      </c>
      <c r="U61" s="1">
        <v>44978</v>
      </c>
      <c r="V61" t="s">
        <v>48</v>
      </c>
      <c r="W61" s="1">
        <f t="shared" si="6"/>
        <v>44979</v>
      </c>
      <c r="X61" s="2">
        <v>12</v>
      </c>
      <c r="Y61">
        <v>0</v>
      </c>
      <c r="Z61">
        <v>647</v>
      </c>
      <c r="AA61" t="s">
        <v>49</v>
      </c>
      <c r="AB61" t="s">
        <v>290</v>
      </c>
      <c r="AC61" s="1">
        <v>44990</v>
      </c>
      <c r="AD61">
        <f t="shared" si="7"/>
        <v>11</v>
      </c>
      <c r="AE61" t="s">
        <v>291</v>
      </c>
      <c r="AF61">
        <v>496</v>
      </c>
      <c r="AG61">
        <v>30</v>
      </c>
      <c r="AH61">
        <v>0</v>
      </c>
      <c r="AI61">
        <v>0</v>
      </c>
      <c r="AJ61">
        <v>0</v>
      </c>
      <c r="AK61">
        <f t="shared" si="8"/>
        <v>526</v>
      </c>
      <c r="AL61" s="12">
        <f t="shared" si="9"/>
        <v>0.8283464566929134</v>
      </c>
      <c r="AM61">
        <v>0</v>
      </c>
      <c r="AN61" t="s">
        <v>292</v>
      </c>
    </row>
    <row r="62" spans="1:41" x14ac:dyDescent="0.35">
      <c r="A62">
        <v>107</v>
      </c>
      <c r="B62" s="1">
        <v>44980</v>
      </c>
      <c r="C62" t="s">
        <v>42</v>
      </c>
      <c r="D62" t="s">
        <v>293</v>
      </c>
      <c r="E62" t="s">
        <v>294</v>
      </c>
      <c r="F62" t="s">
        <v>45</v>
      </c>
      <c r="G62" t="s">
        <v>46</v>
      </c>
      <c r="H62" s="14">
        <v>93.74</v>
      </c>
      <c r="I62" s="14">
        <v>40.78</v>
      </c>
      <c r="J62" s="14">
        <v>96.08</v>
      </c>
      <c r="K62" s="14">
        <v>44.85</v>
      </c>
      <c r="L62" s="17">
        <v>-16.622</v>
      </c>
      <c r="M62" s="17">
        <v>146.04230000000001</v>
      </c>
      <c r="N62" s="17">
        <v>-16.622</v>
      </c>
      <c r="O62" s="17">
        <v>146.04230000000001</v>
      </c>
      <c r="P62">
        <v>28.5</v>
      </c>
      <c r="Q62" s="2">
        <v>31</v>
      </c>
      <c r="R62">
        <v>2</v>
      </c>
      <c r="S62">
        <v>1</v>
      </c>
      <c r="T62">
        <v>97</v>
      </c>
      <c r="U62" s="1">
        <v>44979</v>
      </c>
      <c r="V62" t="s">
        <v>48</v>
      </c>
      <c r="W62" s="1">
        <f t="shared" si="6"/>
        <v>44980</v>
      </c>
      <c r="X62" s="2">
        <v>10</v>
      </c>
      <c r="Y62">
        <v>0</v>
      </c>
      <c r="Z62">
        <v>441</v>
      </c>
      <c r="AA62" t="s">
        <v>49</v>
      </c>
      <c r="AB62" t="s">
        <v>295</v>
      </c>
      <c r="AC62" s="1">
        <v>44990</v>
      </c>
      <c r="AD62">
        <f t="shared" si="7"/>
        <v>10</v>
      </c>
      <c r="AE62" t="s">
        <v>296</v>
      </c>
      <c r="AF62">
        <v>73</v>
      </c>
      <c r="AG62">
        <v>30</v>
      </c>
      <c r="AH62">
        <v>290</v>
      </c>
      <c r="AI62">
        <v>0</v>
      </c>
      <c r="AJ62">
        <v>0</v>
      </c>
      <c r="AK62">
        <f t="shared" si="8"/>
        <v>393</v>
      </c>
      <c r="AL62" s="12">
        <f t="shared" si="9"/>
        <v>0.91183294663573089</v>
      </c>
      <c r="AM62">
        <v>7</v>
      </c>
      <c r="AN62" t="s">
        <v>297</v>
      </c>
    </row>
    <row r="63" spans="1:41" x14ac:dyDescent="0.35">
      <c r="A63">
        <v>108</v>
      </c>
      <c r="B63" s="1">
        <v>44980</v>
      </c>
      <c r="C63" t="s">
        <v>42</v>
      </c>
      <c r="D63" t="s">
        <v>298</v>
      </c>
      <c r="E63" t="s">
        <v>299</v>
      </c>
      <c r="F63" t="s">
        <v>45</v>
      </c>
      <c r="G63" t="s">
        <v>56</v>
      </c>
      <c r="H63" s="14">
        <v>89.42</v>
      </c>
      <c r="I63" s="14">
        <v>36.74</v>
      </c>
      <c r="J63" s="14">
        <v>80.88</v>
      </c>
      <c r="K63" s="14">
        <v>24.91</v>
      </c>
      <c r="L63">
        <v>-16.702000000000002</v>
      </c>
      <c r="M63" s="17">
        <v>145.98599999999999</v>
      </c>
      <c r="N63">
        <v>-16.702000000000002</v>
      </c>
      <c r="O63" s="17">
        <v>145.98599999999999</v>
      </c>
      <c r="P63">
        <v>28.5</v>
      </c>
      <c r="Q63" s="2">
        <v>216</v>
      </c>
      <c r="R63">
        <v>3</v>
      </c>
      <c r="S63">
        <v>1</v>
      </c>
      <c r="T63">
        <v>97</v>
      </c>
      <c r="U63" s="1">
        <v>44979</v>
      </c>
      <c r="V63" t="s">
        <v>48</v>
      </c>
      <c r="W63" s="1">
        <f t="shared" si="6"/>
        <v>44980</v>
      </c>
      <c r="X63" s="2">
        <v>16</v>
      </c>
      <c r="Y63">
        <v>0</v>
      </c>
      <c r="Z63">
        <v>468</v>
      </c>
      <c r="AA63" t="s">
        <v>49</v>
      </c>
      <c r="AB63" t="s">
        <v>300</v>
      </c>
      <c r="AC63" s="1">
        <v>44990</v>
      </c>
      <c r="AD63">
        <f t="shared" si="7"/>
        <v>10</v>
      </c>
      <c r="AE63" t="s">
        <v>301</v>
      </c>
      <c r="AF63">
        <v>44</v>
      </c>
      <c r="AG63">
        <v>30</v>
      </c>
      <c r="AH63">
        <v>290</v>
      </c>
      <c r="AI63">
        <v>0</v>
      </c>
      <c r="AJ63">
        <v>0</v>
      </c>
      <c r="AK63">
        <f t="shared" si="8"/>
        <v>364</v>
      </c>
      <c r="AL63" s="12">
        <f t="shared" si="9"/>
        <v>0.80530973451327437</v>
      </c>
      <c r="AM63">
        <v>7</v>
      </c>
      <c r="AN63" t="s">
        <v>302</v>
      </c>
    </row>
    <row r="64" spans="1:41" x14ac:dyDescent="0.35">
      <c r="A64">
        <v>109</v>
      </c>
      <c r="B64" s="1">
        <v>44980</v>
      </c>
      <c r="C64" t="s">
        <v>42</v>
      </c>
      <c r="D64" t="s">
        <v>303</v>
      </c>
      <c r="E64" t="s">
        <v>304</v>
      </c>
      <c r="F64" t="s">
        <v>45</v>
      </c>
      <c r="G64" t="s">
        <v>56</v>
      </c>
      <c r="H64" s="14">
        <v>94.12</v>
      </c>
      <c r="I64" s="14">
        <v>42.43</v>
      </c>
      <c r="J64" s="14">
        <v>78.86</v>
      </c>
      <c r="K64" s="14">
        <v>24.29</v>
      </c>
      <c r="L64">
        <v>-16.702000000000002</v>
      </c>
      <c r="M64" s="17">
        <v>145.98599999999999</v>
      </c>
      <c r="N64">
        <v>-16.702000000000002</v>
      </c>
      <c r="O64" s="17">
        <v>145.98599999999999</v>
      </c>
      <c r="P64">
        <v>28.5</v>
      </c>
      <c r="Q64" s="2">
        <v>132</v>
      </c>
      <c r="R64">
        <v>3</v>
      </c>
      <c r="S64">
        <v>1</v>
      </c>
      <c r="T64">
        <v>97</v>
      </c>
      <c r="U64" s="1">
        <v>44979</v>
      </c>
      <c r="V64" t="s">
        <v>48</v>
      </c>
      <c r="W64" s="1">
        <f t="shared" si="6"/>
        <v>44980</v>
      </c>
      <c r="X64" s="2">
        <v>10</v>
      </c>
      <c r="Y64">
        <v>0</v>
      </c>
      <c r="Z64">
        <v>263</v>
      </c>
      <c r="AA64" t="s">
        <v>49</v>
      </c>
      <c r="AB64" t="s">
        <v>305</v>
      </c>
      <c r="AC64" s="1">
        <v>44990</v>
      </c>
      <c r="AD64">
        <f t="shared" si="7"/>
        <v>10</v>
      </c>
      <c r="AE64" s="4" t="s">
        <v>47</v>
      </c>
      <c r="AF64" s="4" t="s">
        <v>47</v>
      </c>
      <c r="AG64" s="4" t="s">
        <v>47</v>
      </c>
      <c r="AH64" s="4" t="s">
        <v>47</v>
      </c>
      <c r="AI64" s="4" t="s">
        <v>47</v>
      </c>
      <c r="AJ64" s="4" t="s">
        <v>47</v>
      </c>
      <c r="AK64" s="4" t="s">
        <v>47</v>
      </c>
      <c r="AL64" s="4" t="s">
        <v>47</v>
      </c>
      <c r="AM64">
        <v>1</v>
      </c>
      <c r="AN64" t="s">
        <v>306</v>
      </c>
      <c r="AO64" t="s">
        <v>307</v>
      </c>
    </row>
    <row r="65" spans="1:41" x14ac:dyDescent="0.35">
      <c r="A65">
        <v>110</v>
      </c>
      <c r="B65" s="1">
        <v>44982</v>
      </c>
      <c r="C65" t="s">
        <v>42</v>
      </c>
      <c r="D65" t="s">
        <v>308</v>
      </c>
      <c r="E65" t="s">
        <v>309</v>
      </c>
      <c r="F65" t="s">
        <v>45</v>
      </c>
      <c r="G65" t="s">
        <v>46</v>
      </c>
      <c r="H65" s="14">
        <v>94.8</v>
      </c>
      <c r="I65" s="14">
        <v>45.82</v>
      </c>
      <c r="J65" s="14">
        <v>99.72</v>
      </c>
      <c r="K65" s="14">
        <v>53.26</v>
      </c>
      <c r="L65" s="17">
        <v>-16.622</v>
      </c>
      <c r="M65" s="17">
        <v>146.04230000000001</v>
      </c>
      <c r="N65" s="17">
        <v>-16.622</v>
      </c>
      <c r="O65" s="17">
        <v>146.04230000000001</v>
      </c>
      <c r="P65">
        <v>28.5</v>
      </c>
      <c r="Q65" s="2">
        <v>32</v>
      </c>
      <c r="R65">
        <v>2</v>
      </c>
      <c r="S65">
        <v>1</v>
      </c>
      <c r="T65">
        <v>99</v>
      </c>
      <c r="U65" s="1">
        <v>44981</v>
      </c>
      <c r="V65" t="s">
        <v>48</v>
      </c>
      <c r="W65" s="1">
        <f t="shared" si="6"/>
        <v>44982</v>
      </c>
      <c r="X65" s="2">
        <v>10</v>
      </c>
      <c r="Y65">
        <v>0</v>
      </c>
      <c r="Z65">
        <v>562</v>
      </c>
      <c r="AA65" t="s">
        <v>49</v>
      </c>
      <c r="AB65" t="s">
        <v>310</v>
      </c>
      <c r="AC65" s="1">
        <v>44992</v>
      </c>
      <c r="AD65">
        <f t="shared" si="7"/>
        <v>10</v>
      </c>
      <c r="AE65" t="s">
        <v>311</v>
      </c>
      <c r="AF65">
        <v>45</v>
      </c>
      <c r="AG65">
        <v>30</v>
      </c>
      <c r="AH65">
        <v>450</v>
      </c>
      <c r="AI65">
        <v>0</v>
      </c>
      <c r="AJ65">
        <v>0</v>
      </c>
      <c r="AK65">
        <f>SUM(AF65:AJ65)</f>
        <v>525</v>
      </c>
      <c r="AL65" s="12">
        <f>AK65/(Z65-Y65-X65)</f>
        <v>0.95108695652173914</v>
      </c>
      <c r="AM65">
        <v>7</v>
      </c>
      <c r="AN65" t="s">
        <v>312</v>
      </c>
    </row>
    <row r="66" spans="1:41" x14ac:dyDescent="0.35">
      <c r="A66">
        <v>111</v>
      </c>
      <c r="B66" s="1">
        <v>44984</v>
      </c>
      <c r="C66" t="s">
        <v>42</v>
      </c>
      <c r="D66" t="s">
        <v>313</v>
      </c>
      <c r="E66" t="s">
        <v>314</v>
      </c>
      <c r="F66" t="s">
        <v>45</v>
      </c>
      <c r="G66" t="s">
        <v>79</v>
      </c>
      <c r="H66" s="14">
        <v>100.88</v>
      </c>
      <c r="I66" s="14">
        <v>54.19</v>
      </c>
      <c r="J66" s="14">
        <v>97.44</v>
      </c>
      <c r="K66" s="14">
        <v>49.68</v>
      </c>
      <c r="L66" s="17">
        <v>-16.657</v>
      </c>
      <c r="M66" s="17">
        <v>145.99</v>
      </c>
      <c r="N66" s="17">
        <v>-16.657</v>
      </c>
      <c r="O66" s="17">
        <v>145.99</v>
      </c>
      <c r="P66">
        <v>27</v>
      </c>
      <c r="Q66" s="2">
        <v>121</v>
      </c>
      <c r="R66">
        <v>3</v>
      </c>
      <c r="S66">
        <v>1</v>
      </c>
      <c r="T66">
        <v>101</v>
      </c>
      <c r="U66" s="1">
        <v>44983</v>
      </c>
      <c r="V66" t="s">
        <v>48</v>
      </c>
      <c r="W66" s="1">
        <f t="shared" si="6"/>
        <v>44984</v>
      </c>
      <c r="X66" s="2">
        <v>10</v>
      </c>
      <c r="Y66">
        <v>0</v>
      </c>
      <c r="Z66">
        <v>439</v>
      </c>
      <c r="AA66" t="s">
        <v>49</v>
      </c>
      <c r="AB66" t="s">
        <v>315</v>
      </c>
      <c r="AC66" s="1">
        <v>44995</v>
      </c>
      <c r="AD66">
        <f t="shared" si="7"/>
        <v>11</v>
      </c>
      <c r="AE66" t="s">
        <v>316</v>
      </c>
      <c r="AF66">
        <v>301</v>
      </c>
      <c r="AG66">
        <v>30</v>
      </c>
      <c r="AH66">
        <v>90</v>
      </c>
      <c r="AI66">
        <v>0</v>
      </c>
      <c r="AJ66">
        <v>0</v>
      </c>
      <c r="AK66">
        <f>SUM(AF66:AJ66)</f>
        <v>421</v>
      </c>
      <c r="AL66" s="12">
        <f>AK66/(Z66-Y66-X66)</f>
        <v>0.98135198135198132</v>
      </c>
      <c r="AM66">
        <v>1</v>
      </c>
      <c r="AN66" t="s">
        <v>202</v>
      </c>
    </row>
    <row r="67" spans="1:41" x14ac:dyDescent="0.35">
      <c r="A67">
        <v>112</v>
      </c>
      <c r="B67" s="1">
        <v>44986</v>
      </c>
      <c r="C67" t="s">
        <v>42</v>
      </c>
      <c r="D67" t="s">
        <v>116</v>
      </c>
      <c r="E67" t="s">
        <v>117</v>
      </c>
      <c r="F67" t="s">
        <v>45</v>
      </c>
      <c r="G67" t="s">
        <v>56</v>
      </c>
      <c r="H67" s="14">
        <v>87.22</v>
      </c>
      <c r="I67" s="14">
        <v>31.58</v>
      </c>
      <c r="J67" s="14">
        <v>84.76</v>
      </c>
      <c r="K67" s="14">
        <v>29.85</v>
      </c>
      <c r="L67">
        <v>-16.702000000000002</v>
      </c>
      <c r="M67" s="17">
        <v>145.98599999999999</v>
      </c>
      <c r="N67">
        <v>-16.702000000000002</v>
      </c>
      <c r="O67" s="17">
        <v>145.98599999999999</v>
      </c>
      <c r="P67">
        <v>27</v>
      </c>
      <c r="Q67" s="2">
        <v>124</v>
      </c>
      <c r="R67">
        <v>3</v>
      </c>
      <c r="S67">
        <v>4</v>
      </c>
      <c r="T67">
        <v>104</v>
      </c>
      <c r="U67" s="1">
        <v>44985</v>
      </c>
      <c r="V67" t="s">
        <v>48</v>
      </c>
      <c r="W67" s="1">
        <f t="shared" si="6"/>
        <v>44986</v>
      </c>
      <c r="X67" s="8">
        <v>10</v>
      </c>
      <c r="Y67" s="6">
        <v>0</v>
      </c>
      <c r="Z67">
        <v>381</v>
      </c>
      <c r="AA67" t="s">
        <v>49</v>
      </c>
      <c r="AB67" t="s">
        <v>317</v>
      </c>
      <c r="AC67" s="1">
        <v>44998</v>
      </c>
      <c r="AD67">
        <f t="shared" si="7"/>
        <v>12</v>
      </c>
      <c r="AE67" t="s">
        <v>47</v>
      </c>
      <c r="AF67">
        <v>0</v>
      </c>
      <c r="AG67">
        <v>23</v>
      </c>
      <c r="AH67">
        <v>90</v>
      </c>
      <c r="AI67">
        <v>33</v>
      </c>
      <c r="AJ67">
        <v>2</v>
      </c>
      <c r="AK67">
        <f>SUM(AF67:AJ67)</f>
        <v>148</v>
      </c>
      <c r="AL67" s="12">
        <f>AK67/(Z67-Y67-X67)</f>
        <v>0.39892183288409705</v>
      </c>
      <c r="AM67">
        <v>1</v>
      </c>
      <c r="AN67" t="s">
        <v>318</v>
      </c>
    </row>
    <row r="68" spans="1:41" x14ac:dyDescent="0.35">
      <c r="A68">
        <v>113</v>
      </c>
      <c r="B68" s="1">
        <v>44988</v>
      </c>
      <c r="C68" t="s">
        <v>42</v>
      </c>
      <c r="D68" t="s">
        <v>319</v>
      </c>
      <c r="E68" t="s">
        <v>320</v>
      </c>
      <c r="F68" t="s">
        <v>45</v>
      </c>
      <c r="G68" t="s">
        <v>46</v>
      </c>
      <c r="H68" s="14">
        <v>99.1</v>
      </c>
      <c r="I68" s="14">
        <v>49.59</v>
      </c>
      <c r="J68" s="14">
        <v>101.74</v>
      </c>
      <c r="K68" s="14">
        <v>49.54</v>
      </c>
      <c r="L68" s="17">
        <v>-16.622</v>
      </c>
      <c r="M68" s="17">
        <v>146.04230000000001</v>
      </c>
      <c r="N68" s="17">
        <v>-16.622</v>
      </c>
      <c r="O68" s="17">
        <v>146.04230000000001</v>
      </c>
      <c r="P68">
        <v>28.5</v>
      </c>
      <c r="Q68" s="2">
        <v>30</v>
      </c>
      <c r="R68">
        <v>2</v>
      </c>
      <c r="S68">
        <v>1</v>
      </c>
      <c r="T68">
        <v>105</v>
      </c>
      <c r="U68" s="1">
        <v>44987</v>
      </c>
      <c r="V68" t="s">
        <v>48</v>
      </c>
      <c r="W68" s="1">
        <f t="shared" si="6"/>
        <v>44988</v>
      </c>
      <c r="X68" s="2">
        <v>11</v>
      </c>
      <c r="Y68">
        <v>0</v>
      </c>
      <c r="Z68">
        <v>361</v>
      </c>
      <c r="AA68" t="s">
        <v>49</v>
      </c>
      <c r="AB68" t="s">
        <v>321</v>
      </c>
      <c r="AC68" s="1">
        <v>44997</v>
      </c>
      <c r="AD68">
        <f t="shared" si="7"/>
        <v>9</v>
      </c>
      <c r="AE68" t="s">
        <v>322</v>
      </c>
      <c r="AF68">
        <v>210</v>
      </c>
      <c r="AG68">
        <v>30</v>
      </c>
      <c r="AH68">
        <v>80</v>
      </c>
      <c r="AI68">
        <v>2</v>
      </c>
      <c r="AJ68">
        <v>0</v>
      </c>
      <c r="AK68">
        <f>SUM(AF68:AJ68)</f>
        <v>322</v>
      </c>
      <c r="AL68" s="12">
        <f>AK68/(Z68-Y68-X68)</f>
        <v>0.92</v>
      </c>
      <c r="AM68">
        <v>4</v>
      </c>
      <c r="AN68" t="s">
        <v>323</v>
      </c>
    </row>
    <row r="69" spans="1:41" x14ac:dyDescent="0.35">
      <c r="A69">
        <v>114</v>
      </c>
      <c r="B69" s="1">
        <v>44989</v>
      </c>
      <c r="C69" t="s">
        <v>42</v>
      </c>
      <c r="D69" t="s">
        <v>162</v>
      </c>
      <c r="E69" t="s">
        <v>163</v>
      </c>
      <c r="F69" t="s">
        <v>45</v>
      </c>
      <c r="G69" t="s">
        <v>73</v>
      </c>
      <c r="H69" s="14">
        <v>95.42</v>
      </c>
      <c r="I69" s="14">
        <v>47.19</v>
      </c>
      <c r="J69" s="14">
        <v>93.82</v>
      </c>
      <c r="K69" s="14">
        <v>42.83</v>
      </c>
      <c r="L69" s="17">
        <v>-16.995999999999999</v>
      </c>
      <c r="M69" s="17">
        <v>146.202</v>
      </c>
      <c r="N69" s="17">
        <v>-16.995999999999999</v>
      </c>
      <c r="O69" s="17">
        <v>146.202</v>
      </c>
      <c r="P69">
        <v>30</v>
      </c>
      <c r="Q69" s="2">
        <v>255</v>
      </c>
      <c r="R69">
        <v>3</v>
      </c>
      <c r="S69">
        <v>3</v>
      </c>
      <c r="T69">
        <v>106</v>
      </c>
      <c r="U69" s="1">
        <v>44988</v>
      </c>
      <c r="V69" t="s">
        <v>48</v>
      </c>
      <c r="W69" s="1">
        <v>44997</v>
      </c>
      <c r="X69" s="8">
        <v>10</v>
      </c>
      <c r="Y69" s="6">
        <v>0</v>
      </c>
      <c r="Z69">
        <v>558</v>
      </c>
      <c r="AA69" t="s">
        <v>49</v>
      </c>
      <c r="AB69" t="s">
        <v>324</v>
      </c>
      <c r="AC69" s="6" t="s">
        <v>47</v>
      </c>
      <c r="AD69" s="6" t="s">
        <v>47</v>
      </c>
      <c r="AE69" s="6" t="s">
        <v>47</v>
      </c>
      <c r="AF69" s="6" t="s">
        <v>47</v>
      </c>
      <c r="AG69" s="6" t="s">
        <v>47</v>
      </c>
      <c r="AH69" s="6" t="s">
        <v>47</v>
      </c>
      <c r="AI69" s="6" t="s">
        <v>47</v>
      </c>
      <c r="AJ69" s="6" t="s">
        <v>47</v>
      </c>
      <c r="AK69" s="6" t="s">
        <v>47</v>
      </c>
      <c r="AL69" s="6" t="s">
        <v>47</v>
      </c>
      <c r="AM69">
        <v>1</v>
      </c>
      <c r="AN69" t="s">
        <v>325</v>
      </c>
    </row>
    <row r="70" spans="1:41" x14ac:dyDescent="0.35">
      <c r="A70">
        <v>115</v>
      </c>
      <c r="B70" s="1">
        <v>44991</v>
      </c>
      <c r="C70" t="s">
        <v>42</v>
      </c>
      <c r="D70" t="s">
        <v>217</v>
      </c>
      <c r="E70" t="s">
        <v>218</v>
      </c>
      <c r="F70" t="s">
        <v>45</v>
      </c>
      <c r="G70" t="s">
        <v>46</v>
      </c>
      <c r="H70" s="14">
        <v>84.13</v>
      </c>
      <c r="I70" s="14">
        <v>25</v>
      </c>
      <c r="J70" s="14">
        <v>89.12</v>
      </c>
      <c r="K70" s="14">
        <v>36.19</v>
      </c>
      <c r="L70" s="17">
        <v>-16.622</v>
      </c>
      <c r="M70" s="17">
        <v>146.04230000000001</v>
      </c>
      <c r="N70" s="17">
        <v>-16.622</v>
      </c>
      <c r="O70" s="17">
        <v>146.04230000000001</v>
      </c>
      <c r="P70">
        <v>30</v>
      </c>
      <c r="Q70" s="2">
        <v>204</v>
      </c>
      <c r="R70">
        <v>3</v>
      </c>
      <c r="S70">
        <v>2</v>
      </c>
      <c r="T70">
        <v>109</v>
      </c>
      <c r="U70" s="1">
        <v>44990</v>
      </c>
      <c r="V70" t="s">
        <v>48</v>
      </c>
      <c r="W70" s="1">
        <v>44997</v>
      </c>
      <c r="X70" s="2">
        <v>10</v>
      </c>
      <c r="Y70">
        <v>0</v>
      </c>
      <c r="Z70">
        <v>489</v>
      </c>
      <c r="AA70" t="s">
        <v>49</v>
      </c>
      <c r="AB70" t="s">
        <v>326</v>
      </c>
      <c r="AC70" s="6" t="s">
        <v>47</v>
      </c>
      <c r="AD70" s="6" t="s">
        <v>47</v>
      </c>
      <c r="AE70" s="6" t="s">
        <v>47</v>
      </c>
      <c r="AF70" s="6" t="s">
        <v>47</v>
      </c>
      <c r="AG70" s="6" t="s">
        <v>47</v>
      </c>
      <c r="AH70" s="6" t="s">
        <v>47</v>
      </c>
      <c r="AI70" s="6" t="s">
        <v>47</v>
      </c>
      <c r="AJ70" s="6" t="s">
        <v>47</v>
      </c>
      <c r="AK70" s="6" t="s">
        <v>47</v>
      </c>
      <c r="AL70" s="6" t="s">
        <v>47</v>
      </c>
      <c r="AM70">
        <v>1</v>
      </c>
      <c r="AN70" t="s">
        <v>327</v>
      </c>
    </row>
    <row r="71" spans="1:41" x14ac:dyDescent="0.35">
      <c r="A71">
        <v>116</v>
      </c>
      <c r="B71" s="1">
        <v>44991</v>
      </c>
      <c r="C71" t="s">
        <v>42</v>
      </c>
      <c r="D71" t="s">
        <v>328</v>
      </c>
      <c r="E71" t="s">
        <v>329</v>
      </c>
      <c r="F71" t="s">
        <v>45</v>
      </c>
      <c r="G71" t="s">
        <v>79</v>
      </c>
      <c r="H71" s="14">
        <v>103.68</v>
      </c>
      <c r="I71" s="14">
        <v>55.39</v>
      </c>
      <c r="J71" s="14">
        <v>104.42</v>
      </c>
      <c r="K71" s="14">
        <v>59.93</v>
      </c>
      <c r="L71" s="17">
        <v>-16.657</v>
      </c>
      <c r="M71" s="17">
        <v>145.99</v>
      </c>
      <c r="N71" s="17">
        <v>-16.657</v>
      </c>
      <c r="O71" s="17">
        <v>145.99</v>
      </c>
      <c r="P71">
        <v>27</v>
      </c>
      <c r="Q71" s="2">
        <v>149</v>
      </c>
      <c r="R71">
        <v>3</v>
      </c>
      <c r="S71">
        <v>1</v>
      </c>
      <c r="T71">
        <v>109</v>
      </c>
      <c r="U71" s="1">
        <v>44990</v>
      </c>
      <c r="V71" t="s">
        <v>48</v>
      </c>
      <c r="W71" s="1">
        <v>44997</v>
      </c>
      <c r="X71" s="2">
        <v>10</v>
      </c>
      <c r="Y71" s="6">
        <v>0</v>
      </c>
      <c r="Z71">
        <v>643</v>
      </c>
      <c r="AA71" t="s">
        <v>49</v>
      </c>
      <c r="AB71" t="s">
        <v>330</v>
      </c>
      <c r="AC71" s="1">
        <v>45002</v>
      </c>
      <c r="AD71">
        <f>AC71-B71</f>
        <v>11</v>
      </c>
      <c r="AE71" t="s">
        <v>331</v>
      </c>
      <c r="AF71">
        <v>486</v>
      </c>
      <c r="AG71">
        <v>30</v>
      </c>
      <c r="AH71">
        <v>90</v>
      </c>
      <c r="AI71">
        <v>0</v>
      </c>
      <c r="AJ71">
        <v>4</v>
      </c>
      <c r="AK71">
        <f>SUM(AF71:AJ71)</f>
        <v>610</v>
      </c>
      <c r="AL71" s="12">
        <f>AK71/(Z71-Y71-X71)</f>
        <v>0.9636650868878357</v>
      </c>
      <c r="AM71">
        <v>1</v>
      </c>
      <c r="AN71" t="s">
        <v>332</v>
      </c>
    </row>
    <row r="72" spans="1:41" x14ac:dyDescent="0.35">
      <c r="A72">
        <v>117</v>
      </c>
      <c r="B72" s="1">
        <v>44992</v>
      </c>
      <c r="C72" t="s">
        <v>42</v>
      </c>
      <c r="D72" t="s">
        <v>333</v>
      </c>
      <c r="E72" t="s">
        <v>334</v>
      </c>
      <c r="F72" t="s">
        <v>45</v>
      </c>
      <c r="G72" t="s">
        <v>79</v>
      </c>
      <c r="H72" s="14">
        <v>86.58</v>
      </c>
      <c r="I72" s="14">
        <v>33.33</v>
      </c>
      <c r="J72" s="14">
        <v>91.72</v>
      </c>
      <c r="K72" s="14">
        <v>43.07</v>
      </c>
      <c r="L72" s="17">
        <v>-16.657</v>
      </c>
      <c r="M72" s="17">
        <v>145.99</v>
      </c>
      <c r="N72" s="17">
        <v>-16.657</v>
      </c>
      <c r="O72" s="17">
        <v>145.99</v>
      </c>
      <c r="P72">
        <v>30</v>
      </c>
      <c r="Q72" s="2">
        <v>264</v>
      </c>
      <c r="R72">
        <v>3</v>
      </c>
      <c r="S72">
        <v>1</v>
      </c>
      <c r="T72">
        <v>110</v>
      </c>
      <c r="U72" s="1">
        <v>44991</v>
      </c>
      <c r="V72" t="s">
        <v>48</v>
      </c>
      <c r="W72" s="1">
        <v>44997</v>
      </c>
      <c r="X72" s="2">
        <v>10</v>
      </c>
      <c r="Y72">
        <v>0</v>
      </c>
      <c r="Z72">
        <v>344</v>
      </c>
      <c r="AA72" t="s">
        <v>49</v>
      </c>
      <c r="AB72" t="s">
        <v>335</v>
      </c>
      <c r="AC72" s="1">
        <v>45000</v>
      </c>
      <c r="AD72">
        <f>AC72-B72</f>
        <v>8</v>
      </c>
      <c r="AE72" t="s">
        <v>336</v>
      </c>
      <c r="AF72">
        <v>94</v>
      </c>
      <c r="AG72">
        <v>30</v>
      </c>
      <c r="AH72">
        <v>90</v>
      </c>
      <c r="AI72">
        <v>7</v>
      </c>
      <c r="AJ72">
        <v>0</v>
      </c>
      <c r="AK72">
        <f>SUM(AF72:AJ72)</f>
        <v>221</v>
      </c>
      <c r="AL72" s="12">
        <f>AK72/(Z72-Y72-X72)</f>
        <v>0.66167664670658688</v>
      </c>
      <c r="AM72">
        <v>1</v>
      </c>
      <c r="AN72" t="s">
        <v>337</v>
      </c>
    </row>
    <row r="73" spans="1:41" x14ac:dyDescent="0.35">
      <c r="A73" s="6">
        <v>118</v>
      </c>
      <c r="B73" s="7">
        <v>44992</v>
      </c>
      <c r="C73" s="6" t="s">
        <v>338</v>
      </c>
      <c r="D73" s="6" t="s">
        <v>43</v>
      </c>
      <c r="E73" s="6" t="s">
        <v>44</v>
      </c>
      <c r="F73" s="6" t="s">
        <v>45</v>
      </c>
      <c r="G73" s="6" t="s">
        <v>46</v>
      </c>
      <c r="H73" s="15">
        <v>102.3</v>
      </c>
      <c r="I73" s="15">
        <v>58.01</v>
      </c>
      <c r="J73" s="15">
        <v>102.4</v>
      </c>
      <c r="K73" s="15">
        <v>52.7</v>
      </c>
      <c r="L73" s="18">
        <v>-16.622</v>
      </c>
      <c r="M73" s="18">
        <v>146.04230000000001</v>
      </c>
      <c r="N73" s="18">
        <v>-16.622</v>
      </c>
      <c r="O73" s="18">
        <v>146.04230000000001</v>
      </c>
      <c r="P73" s="6">
        <v>27</v>
      </c>
      <c r="Q73" s="8">
        <v>168</v>
      </c>
      <c r="R73" s="6">
        <v>3</v>
      </c>
      <c r="S73" s="6">
        <v>3</v>
      </c>
      <c r="T73" s="6">
        <v>110</v>
      </c>
      <c r="U73" s="7">
        <v>44991</v>
      </c>
      <c r="V73" s="6" t="s">
        <v>170</v>
      </c>
      <c r="W73" s="7" t="s">
        <v>47</v>
      </c>
      <c r="X73" s="8" t="s">
        <v>47</v>
      </c>
      <c r="Y73" s="6" t="s">
        <v>47</v>
      </c>
      <c r="Z73" s="6" t="s">
        <v>47</v>
      </c>
      <c r="AA73" s="6" t="s">
        <v>47</v>
      </c>
      <c r="AB73" s="6" t="s">
        <v>47</v>
      </c>
      <c r="AC73" s="6" t="s">
        <v>47</v>
      </c>
      <c r="AD73" s="6" t="s">
        <v>47</v>
      </c>
      <c r="AE73" s="6" t="s">
        <v>47</v>
      </c>
      <c r="AF73" s="6" t="s">
        <v>47</v>
      </c>
      <c r="AG73" s="6" t="s">
        <v>47</v>
      </c>
      <c r="AH73" s="6" t="s">
        <v>47</v>
      </c>
      <c r="AI73" s="6" t="s">
        <v>47</v>
      </c>
      <c r="AJ73" s="6" t="s">
        <v>47</v>
      </c>
      <c r="AK73" s="6" t="s">
        <v>47</v>
      </c>
      <c r="AL73" s="13" t="s">
        <v>47</v>
      </c>
      <c r="AM73" s="6">
        <v>1</v>
      </c>
      <c r="AN73" s="6"/>
      <c r="AO73" s="6" t="s">
        <v>339</v>
      </c>
    </row>
    <row r="74" spans="1:41" x14ac:dyDescent="0.35">
      <c r="A74">
        <v>119</v>
      </c>
      <c r="B74" s="1">
        <v>44995</v>
      </c>
      <c r="C74" t="s">
        <v>42</v>
      </c>
      <c r="D74" t="s">
        <v>268</v>
      </c>
      <c r="E74" t="s">
        <v>269</v>
      </c>
      <c r="F74" t="s">
        <v>45</v>
      </c>
      <c r="G74" t="s">
        <v>56</v>
      </c>
      <c r="H74" s="14">
        <v>93.52</v>
      </c>
      <c r="I74" s="14">
        <v>40</v>
      </c>
      <c r="J74" s="14">
        <v>92.04</v>
      </c>
      <c r="K74" s="14">
        <v>38.729999999999997</v>
      </c>
      <c r="L74">
        <v>-16.702000000000002</v>
      </c>
      <c r="M74" s="17">
        <v>145.98599999999999</v>
      </c>
      <c r="N74">
        <v>-16.702000000000002</v>
      </c>
      <c r="O74" s="17">
        <v>145.98599999999999</v>
      </c>
      <c r="P74">
        <v>28.5</v>
      </c>
      <c r="Q74" s="2">
        <v>238</v>
      </c>
      <c r="R74">
        <v>3</v>
      </c>
      <c r="S74">
        <v>2</v>
      </c>
      <c r="T74">
        <v>113</v>
      </c>
      <c r="U74" s="1">
        <v>44994</v>
      </c>
      <c r="V74" t="s">
        <v>48</v>
      </c>
      <c r="W74" s="1">
        <v>45000</v>
      </c>
      <c r="X74" s="2">
        <v>13</v>
      </c>
      <c r="Y74">
        <v>0</v>
      </c>
      <c r="Z74">
        <v>640</v>
      </c>
      <c r="AA74" t="s">
        <v>49</v>
      </c>
      <c r="AB74" t="s">
        <v>340</v>
      </c>
      <c r="AC74" s="1">
        <v>45005</v>
      </c>
      <c r="AD74">
        <f>AC74-B74</f>
        <v>10</v>
      </c>
      <c r="AE74" t="s">
        <v>47</v>
      </c>
      <c r="AF74">
        <v>0</v>
      </c>
      <c r="AG74">
        <v>28</v>
      </c>
      <c r="AH74">
        <v>240</v>
      </c>
      <c r="AI74">
        <v>0</v>
      </c>
      <c r="AJ74">
        <v>0</v>
      </c>
      <c r="AK74">
        <f>SUM(AF74:AJ74)</f>
        <v>268</v>
      </c>
      <c r="AL74" s="12">
        <f>AK74/(Z74-Y74-X74)</f>
        <v>0.42743221690590111</v>
      </c>
      <c r="AM74">
        <v>4</v>
      </c>
      <c r="AN74" t="s">
        <v>341</v>
      </c>
    </row>
    <row r="75" spans="1:41" x14ac:dyDescent="0.35">
      <c r="A75">
        <v>120</v>
      </c>
      <c r="B75" s="1">
        <v>44996</v>
      </c>
      <c r="C75" t="s">
        <v>42</v>
      </c>
      <c r="D75" t="s">
        <v>342</v>
      </c>
      <c r="E75" t="s">
        <v>343</v>
      </c>
      <c r="F75" t="s">
        <v>45</v>
      </c>
      <c r="G75" t="s">
        <v>46</v>
      </c>
      <c r="H75" s="14">
        <v>96.02</v>
      </c>
      <c r="I75" s="14">
        <v>45.56</v>
      </c>
      <c r="J75" s="14">
        <v>99.44</v>
      </c>
      <c r="K75" s="14">
        <v>47.85</v>
      </c>
      <c r="L75" s="17">
        <v>-16.622</v>
      </c>
      <c r="M75" s="17">
        <v>146.04230000000001</v>
      </c>
      <c r="N75" s="17">
        <v>-16.622</v>
      </c>
      <c r="O75" s="17">
        <v>146.04230000000001</v>
      </c>
      <c r="P75">
        <v>28.5</v>
      </c>
      <c r="Q75" s="2">
        <v>53</v>
      </c>
      <c r="R75">
        <v>2</v>
      </c>
      <c r="S75">
        <v>1</v>
      </c>
      <c r="T75">
        <v>114</v>
      </c>
      <c r="U75" s="1">
        <v>44995</v>
      </c>
      <c r="V75" t="s">
        <v>48</v>
      </c>
      <c r="W75" s="1">
        <v>45000</v>
      </c>
      <c r="X75" s="2">
        <v>11</v>
      </c>
      <c r="Y75" s="10">
        <v>0</v>
      </c>
      <c r="Z75">
        <v>365</v>
      </c>
      <c r="AA75" t="s">
        <v>49</v>
      </c>
      <c r="AB75" t="s">
        <v>344</v>
      </c>
      <c r="AC75" s="1">
        <v>45006</v>
      </c>
      <c r="AD75">
        <f>AC75-B75</f>
        <v>10</v>
      </c>
      <c r="AE75" t="s">
        <v>345</v>
      </c>
      <c r="AF75">
        <v>85</v>
      </c>
      <c r="AG75">
        <v>30</v>
      </c>
      <c r="AH75">
        <v>210</v>
      </c>
      <c r="AI75">
        <v>0</v>
      </c>
      <c r="AJ75">
        <v>0</v>
      </c>
      <c r="AK75">
        <f>SUM(AF75:AJ75)</f>
        <v>325</v>
      </c>
      <c r="AL75" s="12">
        <f>AK75/(Z75-Y75-X75)</f>
        <v>0.91807909604519777</v>
      </c>
      <c r="AM75">
        <v>3</v>
      </c>
      <c r="AN75" t="s">
        <v>346</v>
      </c>
    </row>
    <row r="76" spans="1:41" x14ac:dyDescent="0.35">
      <c r="A76">
        <v>121</v>
      </c>
      <c r="B76" s="1">
        <v>44999</v>
      </c>
      <c r="C76" t="s">
        <v>42</v>
      </c>
      <c r="D76" t="s">
        <v>347</v>
      </c>
      <c r="E76" t="s">
        <v>348</v>
      </c>
      <c r="F76" t="s">
        <v>45</v>
      </c>
      <c r="G76" t="s">
        <v>56</v>
      </c>
      <c r="H76" s="14">
        <v>89.44</v>
      </c>
      <c r="I76" s="14">
        <v>32.68</v>
      </c>
      <c r="J76" s="14">
        <v>86.3</v>
      </c>
      <c r="K76" s="14">
        <v>29.7</v>
      </c>
      <c r="L76">
        <v>-16.702000000000002</v>
      </c>
      <c r="M76" s="17">
        <v>145.98599999999999</v>
      </c>
      <c r="N76">
        <v>-16.702000000000002</v>
      </c>
      <c r="O76" s="17">
        <v>145.98599999999999</v>
      </c>
      <c r="P76">
        <v>28.5</v>
      </c>
      <c r="Q76" s="2">
        <v>232</v>
      </c>
      <c r="R76">
        <v>3</v>
      </c>
      <c r="S76">
        <v>1</v>
      </c>
      <c r="T76">
        <v>117</v>
      </c>
      <c r="U76" s="1">
        <v>44998</v>
      </c>
      <c r="V76" t="s">
        <v>48</v>
      </c>
      <c r="W76" s="1">
        <v>45000</v>
      </c>
      <c r="X76" s="2">
        <v>13</v>
      </c>
      <c r="Y76">
        <v>0</v>
      </c>
      <c r="Z76">
        <v>368</v>
      </c>
      <c r="AA76" t="s">
        <v>49</v>
      </c>
      <c r="AB76" t="s">
        <v>349</v>
      </c>
      <c r="AC76" s="6" t="s">
        <v>47</v>
      </c>
      <c r="AD76" s="6" t="s">
        <v>47</v>
      </c>
      <c r="AE76" s="6" t="s">
        <v>47</v>
      </c>
      <c r="AF76" s="6" t="s">
        <v>47</v>
      </c>
      <c r="AG76" s="6" t="s">
        <v>47</v>
      </c>
      <c r="AH76" s="6" t="s">
        <v>47</v>
      </c>
      <c r="AI76" s="6" t="s">
        <v>47</v>
      </c>
      <c r="AJ76" s="6" t="s">
        <v>47</v>
      </c>
      <c r="AK76" s="6" t="s">
        <v>47</v>
      </c>
      <c r="AL76" s="6" t="s">
        <v>47</v>
      </c>
      <c r="AM76">
        <v>0</v>
      </c>
      <c r="AN76" t="s">
        <v>327</v>
      </c>
      <c r="AO76" t="s">
        <v>350</v>
      </c>
    </row>
    <row r="77" spans="1:41" x14ac:dyDescent="0.35">
      <c r="A77">
        <v>122</v>
      </c>
      <c r="B77" s="1">
        <v>44999</v>
      </c>
      <c r="C77" t="s">
        <v>42</v>
      </c>
      <c r="D77" t="s">
        <v>198</v>
      </c>
      <c r="E77" t="s">
        <v>199</v>
      </c>
      <c r="F77" t="s">
        <v>45</v>
      </c>
      <c r="G77" t="s">
        <v>56</v>
      </c>
      <c r="H77" s="14">
        <v>86.84</v>
      </c>
      <c r="I77" s="14">
        <v>32.4</v>
      </c>
      <c r="J77" s="14">
        <v>85.8</v>
      </c>
      <c r="K77" s="14">
        <v>31.36</v>
      </c>
      <c r="L77">
        <v>-16.702000000000002</v>
      </c>
      <c r="M77" s="17">
        <v>145.98599999999999</v>
      </c>
      <c r="N77">
        <v>-16.702000000000002</v>
      </c>
      <c r="O77" s="17">
        <v>145.98599999999999</v>
      </c>
      <c r="P77">
        <v>27</v>
      </c>
      <c r="Q77" s="2">
        <v>253</v>
      </c>
      <c r="R77">
        <v>3</v>
      </c>
      <c r="S77">
        <v>2</v>
      </c>
      <c r="T77">
        <v>117</v>
      </c>
      <c r="U77" s="1">
        <v>44998</v>
      </c>
      <c r="V77" t="s">
        <v>48</v>
      </c>
      <c r="W77" s="1">
        <v>45000</v>
      </c>
      <c r="X77" s="2">
        <v>11</v>
      </c>
      <c r="Y77">
        <v>0</v>
      </c>
      <c r="Z77">
        <v>486</v>
      </c>
      <c r="AA77" t="s">
        <v>49</v>
      </c>
      <c r="AB77" t="s">
        <v>351</v>
      </c>
      <c r="AC77" s="1">
        <v>45010</v>
      </c>
      <c r="AD77">
        <f>AC77-B77</f>
        <v>11</v>
      </c>
      <c r="AE77" t="s">
        <v>352</v>
      </c>
      <c r="AF77">
        <v>64</v>
      </c>
      <c r="AG77">
        <v>30</v>
      </c>
      <c r="AH77">
        <v>90</v>
      </c>
      <c r="AI77">
        <v>4</v>
      </c>
      <c r="AJ77">
        <v>0</v>
      </c>
      <c r="AK77">
        <f>SUM(AF77:AJ77)</f>
        <v>188</v>
      </c>
      <c r="AL77" s="12">
        <f>AK77/(Z77-Y77-X77)</f>
        <v>0.39578947368421052</v>
      </c>
      <c r="AM77">
        <v>1</v>
      </c>
      <c r="AN77" t="s">
        <v>152</v>
      </c>
    </row>
    <row r="78" spans="1:41" x14ac:dyDescent="0.35">
      <c r="A78">
        <v>123</v>
      </c>
      <c r="B78" s="1">
        <v>44999</v>
      </c>
      <c r="C78" t="s">
        <v>42</v>
      </c>
      <c r="D78" t="s">
        <v>132</v>
      </c>
      <c r="E78" t="s">
        <v>133</v>
      </c>
      <c r="F78" t="s">
        <v>45</v>
      </c>
      <c r="G78" t="s">
        <v>73</v>
      </c>
      <c r="H78" s="14">
        <v>103</v>
      </c>
      <c r="I78" s="14">
        <v>50.94</v>
      </c>
      <c r="J78" s="14">
        <v>103.8</v>
      </c>
      <c r="K78" s="14">
        <v>49.03</v>
      </c>
      <c r="L78" s="17">
        <v>-16.995999999999999</v>
      </c>
      <c r="M78" s="17">
        <v>146.202</v>
      </c>
      <c r="N78" s="17">
        <v>-16.995999999999999</v>
      </c>
      <c r="O78" s="17">
        <v>146.202</v>
      </c>
      <c r="P78">
        <v>27</v>
      </c>
      <c r="Q78" s="2">
        <v>172</v>
      </c>
      <c r="R78">
        <v>3</v>
      </c>
      <c r="S78">
        <v>4</v>
      </c>
      <c r="T78">
        <v>117</v>
      </c>
      <c r="U78" s="1">
        <v>44998</v>
      </c>
      <c r="V78" t="s">
        <v>48</v>
      </c>
      <c r="W78" s="1">
        <v>45000</v>
      </c>
      <c r="X78" s="2">
        <v>10</v>
      </c>
      <c r="Y78">
        <v>1</v>
      </c>
      <c r="Z78">
        <v>573</v>
      </c>
      <c r="AA78" t="s">
        <v>49</v>
      </c>
      <c r="AB78" t="s">
        <v>353</v>
      </c>
      <c r="AC78" s="1">
        <v>45010</v>
      </c>
      <c r="AD78">
        <f>AC78-B78</f>
        <v>11</v>
      </c>
      <c r="AE78" t="s">
        <v>354</v>
      </c>
      <c r="AF78">
        <v>330</v>
      </c>
      <c r="AG78">
        <v>0</v>
      </c>
      <c r="AH78">
        <v>0</v>
      </c>
      <c r="AI78">
        <v>13</v>
      </c>
      <c r="AJ78">
        <v>0</v>
      </c>
      <c r="AK78">
        <f>SUM(AF78:AJ78)</f>
        <v>343</v>
      </c>
      <c r="AL78" s="12">
        <f>AK78/(Z78-Y78-X78)</f>
        <v>0.61032028469750887</v>
      </c>
      <c r="AM78">
        <v>0</v>
      </c>
      <c r="AN78" t="s">
        <v>355</v>
      </c>
    </row>
    <row r="79" spans="1:41" x14ac:dyDescent="0.35">
      <c r="A79">
        <v>124</v>
      </c>
      <c r="B79" s="1">
        <v>45003</v>
      </c>
      <c r="C79" t="s">
        <v>42</v>
      </c>
      <c r="D79" t="s">
        <v>228</v>
      </c>
      <c r="E79" t="s">
        <v>229</v>
      </c>
      <c r="F79" t="s">
        <v>45</v>
      </c>
      <c r="G79" t="s">
        <v>73</v>
      </c>
      <c r="H79" s="14">
        <v>93.03</v>
      </c>
      <c r="I79" s="14">
        <v>39.229999999999997</v>
      </c>
      <c r="J79" s="14">
        <v>94.94</v>
      </c>
      <c r="K79" s="14">
        <v>40.020000000000003</v>
      </c>
      <c r="L79" s="17">
        <v>-16.995999999999999</v>
      </c>
      <c r="M79" s="17">
        <v>146.202</v>
      </c>
      <c r="N79" s="17">
        <v>-16.995999999999999</v>
      </c>
      <c r="O79" s="17">
        <v>146.202</v>
      </c>
      <c r="P79">
        <v>30</v>
      </c>
      <c r="Q79" s="2">
        <v>161</v>
      </c>
      <c r="R79">
        <v>3</v>
      </c>
      <c r="S79">
        <v>2</v>
      </c>
      <c r="T79">
        <v>120</v>
      </c>
      <c r="U79" s="1">
        <v>45002</v>
      </c>
      <c r="V79" t="s">
        <v>48</v>
      </c>
      <c r="W79" s="1">
        <v>45004</v>
      </c>
      <c r="X79" s="2">
        <v>12</v>
      </c>
      <c r="Y79">
        <v>0</v>
      </c>
      <c r="Z79">
        <v>539</v>
      </c>
      <c r="AA79" t="s">
        <v>49</v>
      </c>
      <c r="AB79" t="s">
        <v>356</v>
      </c>
      <c r="AC79" s="1">
        <v>45012</v>
      </c>
      <c r="AD79">
        <f>AC79-B79</f>
        <v>9</v>
      </c>
      <c r="AE79" t="s">
        <v>47</v>
      </c>
      <c r="AF79">
        <v>0</v>
      </c>
      <c r="AG79">
        <v>0</v>
      </c>
      <c r="AH79">
        <v>90</v>
      </c>
      <c r="AI79">
        <v>0</v>
      </c>
      <c r="AJ79">
        <v>8</v>
      </c>
      <c r="AK79">
        <f>SUM(AF79:AJ79)</f>
        <v>98</v>
      </c>
      <c r="AL79" s="12">
        <f>AK79/(Z79-Y79-X79)</f>
        <v>0.1859582542694497</v>
      </c>
      <c r="AM79">
        <v>1</v>
      </c>
      <c r="AN79" t="s">
        <v>357</v>
      </c>
    </row>
    <row r="80" spans="1:41" x14ac:dyDescent="0.35">
      <c r="A80">
        <v>125</v>
      </c>
      <c r="B80" s="1">
        <v>45005</v>
      </c>
      <c r="C80" t="s">
        <v>42</v>
      </c>
      <c r="D80" t="s">
        <v>234</v>
      </c>
      <c r="E80" t="s">
        <v>235</v>
      </c>
      <c r="F80" t="s">
        <v>45</v>
      </c>
      <c r="G80" t="s">
        <v>236</v>
      </c>
      <c r="H80" s="14">
        <v>102.28</v>
      </c>
      <c r="I80" s="14">
        <v>48.84</v>
      </c>
      <c r="J80" s="14">
        <v>104.1</v>
      </c>
      <c r="K80" s="14">
        <v>54.34</v>
      </c>
      <c r="L80" s="17">
        <v>-16.443000000000001</v>
      </c>
      <c r="M80" s="17">
        <v>145.684</v>
      </c>
      <c r="N80" s="17">
        <v>-16.443000000000001</v>
      </c>
      <c r="O80" s="17">
        <v>145.684</v>
      </c>
      <c r="P80">
        <v>28.5</v>
      </c>
      <c r="Q80" s="2">
        <v>37</v>
      </c>
      <c r="R80">
        <v>2</v>
      </c>
      <c r="S80">
        <v>2</v>
      </c>
      <c r="T80">
        <v>122</v>
      </c>
      <c r="U80" s="1">
        <v>45004</v>
      </c>
      <c r="V80" t="s">
        <v>48</v>
      </c>
      <c r="W80" s="1">
        <v>45007</v>
      </c>
      <c r="X80" s="2">
        <v>10</v>
      </c>
      <c r="Y80">
        <v>0</v>
      </c>
      <c r="Z80">
        <v>458</v>
      </c>
      <c r="AA80" t="s">
        <v>49</v>
      </c>
      <c r="AB80" t="s">
        <v>358</v>
      </c>
      <c r="AC80" s="6" t="s">
        <v>47</v>
      </c>
      <c r="AD80" s="6" t="s">
        <v>47</v>
      </c>
      <c r="AE80" s="6" t="s">
        <v>47</v>
      </c>
      <c r="AF80" s="6" t="s">
        <v>47</v>
      </c>
      <c r="AG80" s="6" t="s">
        <v>47</v>
      </c>
      <c r="AH80" s="6" t="s">
        <v>47</v>
      </c>
      <c r="AI80" s="6" t="s">
        <v>47</v>
      </c>
      <c r="AJ80" s="6" t="s">
        <v>47</v>
      </c>
      <c r="AK80" s="6" t="s">
        <v>47</v>
      </c>
      <c r="AL80" s="6" t="s">
        <v>47</v>
      </c>
      <c r="AM80">
        <v>4</v>
      </c>
      <c r="AN80" t="s">
        <v>327</v>
      </c>
      <c r="AO80" t="s">
        <v>359</v>
      </c>
    </row>
    <row r="81" spans="1:41" x14ac:dyDescent="0.35">
      <c r="A81">
        <v>126</v>
      </c>
      <c r="B81" s="1">
        <v>45006</v>
      </c>
      <c r="C81" t="s">
        <v>42</v>
      </c>
      <c r="D81" t="s">
        <v>273</v>
      </c>
      <c r="E81" t="s">
        <v>274</v>
      </c>
      <c r="F81" t="s">
        <v>45</v>
      </c>
      <c r="G81" t="s">
        <v>56</v>
      </c>
      <c r="H81" s="14">
        <v>87.08</v>
      </c>
      <c r="I81" s="14">
        <v>29.75</v>
      </c>
      <c r="J81" s="14">
        <v>82.8</v>
      </c>
      <c r="K81" s="14">
        <v>27.63</v>
      </c>
      <c r="L81">
        <v>-16.702000000000002</v>
      </c>
      <c r="M81" s="17">
        <v>145.98599999999999</v>
      </c>
      <c r="N81">
        <v>-16.702000000000002</v>
      </c>
      <c r="O81" s="17">
        <v>145.98599999999999</v>
      </c>
      <c r="P81">
        <v>30</v>
      </c>
      <c r="Q81" s="2">
        <v>166</v>
      </c>
      <c r="R81">
        <v>3</v>
      </c>
      <c r="S81">
        <v>2</v>
      </c>
      <c r="T81">
        <v>90</v>
      </c>
      <c r="U81" s="1">
        <v>45005</v>
      </c>
      <c r="V81" t="s">
        <v>48</v>
      </c>
      <c r="W81" s="1">
        <v>45007</v>
      </c>
      <c r="X81" s="2">
        <v>10</v>
      </c>
      <c r="Y81">
        <v>3</v>
      </c>
      <c r="Z81">
        <v>343</v>
      </c>
      <c r="AA81" t="s">
        <v>49</v>
      </c>
      <c r="AB81" t="s">
        <v>360</v>
      </c>
      <c r="AC81" s="1">
        <v>45015</v>
      </c>
      <c r="AD81">
        <f>AC81-B81</f>
        <v>9</v>
      </c>
      <c r="AE81" t="s">
        <v>47</v>
      </c>
      <c r="AF81">
        <v>0</v>
      </c>
      <c r="AG81">
        <v>29</v>
      </c>
      <c r="AH81">
        <v>30</v>
      </c>
      <c r="AI81">
        <v>21</v>
      </c>
      <c r="AJ81">
        <v>14</v>
      </c>
      <c r="AK81">
        <f>SUM(AF81:AJ81)</f>
        <v>94</v>
      </c>
      <c r="AL81" s="12">
        <f>AK81/(Z81-Y81-X81)</f>
        <v>0.28484848484848485</v>
      </c>
      <c r="AM81">
        <v>1</v>
      </c>
      <c r="AN81" t="s">
        <v>361</v>
      </c>
    </row>
    <row r="82" spans="1:41" x14ac:dyDescent="0.35">
      <c r="A82">
        <v>127</v>
      </c>
      <c r="B82" s="1">
        <v>45006</v>
      </c>
      <c r="C82" t="s">
        <v>42</v>
      </c>
      <c r="D82" t="s">
        <v>47</v>
      </c>
      <c r="E82" t="s">
        <v>362</v>
      </c>
      <c r="F82" t="s">
        <v>45</v>
      </c>
      <c r="G82" t="s">
        <v>79</v>
      </c>
      <c r="H82" s="14" t="s">
        <v>47</v>
      </c>
      <c r="I82" s="14" t="s">
        <v>47</v>
      </c>
      <c r="J82" s="14">
        <v>94.02</v>
      </c>
      <c r="K82" s="14">
        <v>40.909999999999997</v>
      </c>
      <c r="L82" s="17">
        <v>-20.771999999999998</v>
      </c>
      <c r="M82" s="17">
        <v>149.398</v>
      </c>
      <c r="N82" s="17">
        <v>-20.771999999999998</v>
      </c>
      <c r="O82" s="17">
        <v>149.398</v>
      </c>
      <c r="P82">
        <v>30</v>
      </c>
      <c r="Q82" s="2">
        <v>212</v>
      </c>
      <c r="R82">
        <v>3</v>
      </c>
      <c r="S82">
        <v>1</v>
      </c>
      <c r="T82">
        <v>123</v>
      </c>
      <c r="U82" t="s">
        <v>47</v>
      </c>
      <c r="V82" t="s">
        <v>48</v>
      </c>
      <c r="W82" s="1">
        <v>45007</v>
      </c>
      <c r="X82" s="2">
        <v>10</v>
      </c>
      <c r="Y82">
        <v>1</v>
      </c>
      <c r="Z82">
        <v>510</v>
      </c>
      <c r="AA82" t="s">
        <v>49</v>
      </c>
      <c r="AB82" t="s">
        <v>363</v>
      </c>
      <c r="AC82" s="6" t="s">
        <v>47</v>
      </c>
      <c r="AD82" s="6" t="s">
        <v>47</v>
      </c>
      <c r="AE82" s="6" t="s">
        <v>47</v>
      </c>
      <c r="AF82" s="6" t="s">
        <v>47</v>
      </c>
      <c r="AG82" s="6" t="s">
        <v>47</v>
      </c>
      <c r="AH82" s="6" t="s">
        <v>47</v>
      </c>
      <c r="AI82" s="6" t="s">
        <v>47</v>
      </c>
      <c r="AJ82" s="6" t="s">
        <v>47</v>
      </c>
      <c r="AK82" s="6" t="s">
        <v>47</v>
      </c>
      <c r="AL82" s="6" t="s">
        <v>47</v>
      </c>
      <c r="AM82">
        <v>0</v>
      </c>
      <c r="AN82" t="s">
        <v>327</v>
      </c>
      <c r="AO82" t="s">
        <v>364</v>
      </c>
    </row>
    <row r="83" spans="1:41" x14ac:dyDescent="0.35">
      <c r="A83">
        <v>128</v>
      </c>
      <c r="B83" s="1">
        <v>45007</v>
      </c>
      <c r="C83" t="s">
        <v>42</v>
      </c>
      <c r="D83" t="s">
        <v>256</v>
      </c>
      <c r="E83" t="s">
        <v>257</v>
      </c>
      <c r="F83" t="s">
        <v>45</v>
      </c>
      <c r="G83" t="s">
        <v>56</v>
      </c>
      <c r="H83" s="14">
        <v>81.599999999999994</v>
      </c>
      <c r="I83" s="14">
        <v>24.19</v>
      </c>
      <c r="J83" s="14">
        <v>82.28</v>
      </c>
      <c r="K83" s="14">
        <v>27.2</v>
      </c>
      <c r="L83">
        <v>-16.702000000000002</v>
      </c>
      <c r="M83" s="17">
        <v>145.98599999999999</v>
      </c>
      <c r="N83">
        <v>-16.702000000000002</v>
      </c>
      <c r="O83" s="17">
        <v>145.98599999999999</v>
      </c>
      <c r="P83">
        <v>28.5</v>
      </c>
      <c r="Q83" s="2">
        <v>106</v>
      </c>
      <c r="R83">
        <v>2</v>
      </c>
      <c r="S83">
        <v>2</v>
      </c>
      <c r="T83">
        <v>124</v>
      </c>
      <c r="U83" s="1">
        <v>45006</v>
      </c>
      <c r="V83" t="s">
        <v>48</v>
      </c>
      <c r="W83" s="1">
        <v>45007</v>
      </c>
      <c r="X83" s="2">
        <v>10</v>
      </c>
      <c r="Y83">
        <v>0</v>
      </c>
      <c r="Z83">
        <v>372</v>
      </c>
      <c r="AA83" t="s">
        <v>49</v>
      </c>
      <c r="AB83" t="s">
        <v>365</v>
      </c>
      <c r="AC83" s="1">
        <v>45016</v>
      </c>
      <c r="AD83">
        <f t="shared" ref="AD83:AD98" si="10">AC83-B83</f>
        <v>9</v>
      </c>
      <c r="AE83" t="s">
        <v>366</v>
      </c>
      <c r="AF83">
        <v>110</v>
      </c>
      <c r="AG83">
        <v>30</v>
      </c>
      <c r="AH83">
        <v>120</v>
      </c>
      <c r="AI83">
        <v>0</v>
      </c>
      <c r="AJ83">
        <v>0</v>
      </c>
      <c r="AK83">
        <f t="shared" ref="AK83:AK95" si="11">SUM(AF83:AJ83)</f>
        <v>260</v>
      </c>
      <c r="AL83" s="12">
        <f t="shared" ref="AL83:AL95" si="12">AK83/(Z83-Y83-X83)</f>
        <v>0.71823204419889508</v>
      </c>
      <c r="AM83">
        <v>4</v>
      </c>
      <c r="AN83" t="s">
        <v>367</v>
      </c>
    </row>
    <row r="84" spans="1:41" x14ac:dyDescent="0.35">
      <c r="A84">
        <v>129</v>
      </c>
      <c r="B84" s="1">
        <v>45011</v>
      </c>
      <c r="C84" t="s">
        <v>42</v>
      </c>
      <c r="D84" t="s">
        <v>368</v>
      </c>
      <c r="E84" t="s">
        <v>369</v>
      </c>
      <c r="F84" t="s">
        <v>45</v>
      </c>
      <c r="G84" t="s">
        <v>79</v>
      </c>
      <c r="H84" s="14">
        <v>95.2</v>
      </c>
      <c r="I84" s="14">
        <v>46.4</v>
      </c>
      <c r="J84" s="14">
        <v>100.6</v>
      </c>
      <c r="K84" s="14">
        <v>50.53</v>
      </c>
      <c r="L84" s="17">
        <v>-16.657</v>
      </c>
      <c r="M84" s="17">
        <v>145.99</v>
      </c>
      <c r="N84" s="17">
        <v>-16.657</v>
      </c>
      <c r="O84" s="17">
        <v>145.99</v>
      </c>
      <c r="P84">
        <v>27</v>
      </c>
      <c r="Q84" s="2">
        <v>270</v>
      </c>
      <c r="R84">
        <v>3</v>
      </c>
      <c r="S84">
        <v>1</v>
      </c>
      <c r="T84">
        <v>130</v>
      </c>
      <c r="U84" s="1">
        <v>45010</v>
      </c>
      <c r="V84" t="s">
        <v>48</v>
      </c>
      <c r="W84" s="1">
        <v>45011</v>
      </c>
      <c r="X84" s="2">
        <v>10</v>
      </c>
      <c r="Y84">
        <v>1</v>
      </c>
      <c r="Z84">
        <v>417</v>
      </c>
      <c r="AA84" t="s">
        <v>49</v>
      </c>
      <c r="AB84" t="s">
        <v>370</v>
      </c>
      <c r="AC84" s="1">
        <v>45020</v>
      </c>
      <c r="AD84">
        <f t="shared" si="10"/>
        <v>9</v>
      </c>
      <c r="AE84" t="s">
        <v>371</v>
      </c>
      <c r="AF84">
        <v>244</v>
      </c>
      <c r="AG84">
        <v>30</v>
      </c>
      <c r="AH84">
        <v>90</v>
      </c>
      <c r="AI84">
        <v>31</v>
      </c>
      <c r="AJ84">
        <v>0</v>
      </c>
      <c r="AK84">
        <f t="shared" si="11"/>
        <v>395</v>
      </c>
      <c r="AL84" s="12">
        <f t="shared" si="12"/>
        <v>0.97290640394088668</v>
      </c>
      <c r="AM84">
        <v>1</v>
      </c>
      <c r="AN84" t="s">
        <v>372</v>
      </c>
    </row>
    <row r="85" spans="1:41" x14ac:dyDescent="0.35">
      <c r="A85">
        <v>130</v>
      </c>
      <c r="B85" s="1">
        <v>45015</v>
      </c>
      <c r="C85" t="s">
        <v>42</v>
      </c>
      <c r="D85" t="s">
        <v>148</v>
      </c>
      <c r="E85" t="s">
        <v>149</v>
      </c>
      <c r="F85" t="s">
        <v>45</v>
      </c>
      <c r="G85" t="s">
        <v>46</v>
      </c>
      <c r="H85" s="14">
        <v>102.52</v>
      </c>
      <c r="I85" s="14">
        <v>54.28</v>
      </c>
      <c r="J85" s="14">
        <v>101.42</v>
      </c>
      <c r="K85" s="14">
        <v>55.75</v>
      </c>
      <c r="L85" s="17">
        <v>-16.622</v>
      </c>
      <c r="M85" s="17">
        <v>146.04230000000001</v>
      </c>
      <c r="N85" s="17">
        <v>-16.622</v>
      </c>
      <c r="O85" s="17">
        <v>146.04230000000001</v>
      </c>
      <c r="P85">
        <v>27</v>
      </c>
      <c r="Q85" s="2">
        <v>268</v>
      </c>
      <c r="R85">
        <v>3</v>
      </c>
      <c r="S85">
        <v>3</v>
      </c>
      <c r="T85">
        <v>133</v>
      </c>
      <c r="U85" s="1">
        <v>45014</v>
      </c>
      <c r="V85" t="s">
        <v>48</v>
      </c>
      <c r="X85" s="2">
        <v>10</v>
      </c>
      <c r="Y85">
        <v>0</v>
      </c>
      <c r="Z85">
        <v>611</v>
      </c>
      <c r="AA85" t="s">
        <v>49</v>
      </c>
      <c r="AB85" t="s">
        <v>373</v>
      </c>
      <c r="AC85" s="1">
        <v>45026</v>
      </c>
      <c r="AD85">
        <f t="shared" si="10"/>
        <v>11</v>
      </c>
      <c r="AE85" t="s">
        <v>374</v>
      </c>
      <c r="AF85">
        <v>439</v>
      </c>
      <c r="AG85">
        <v>0</v>
      </c>
      <c r="AH85">
        <v>0</v>
      </c>
      <c r="AI85">
        <v>0</v>
      </c>
      <c r="AJ85">
        <v>0</v>
      </c>
      <c r="AK85">
        <f t="shared" si="11"/>
        <v>439</v>
      </c>
      <c r="AL85" s="20">
        <f t="shared" si="12"/>
        <v>0.73044925124792015</v>
      </c>
      <c r="AM85" s="21">
        <v>0</v>
      </c>
      <c r="AN85" s="21" t="s">
        <v>241</v>
      </c>
      <c r="AO85" s="21" t="s">
        <v>375</v>
      </c>
    </row>
    <row r="86" spans="1:41" x14ac:dyDescent="0.35">
      <c r="A86">
        <v>131</v>
      </c>
      <c r="B86" s="1">
        <v>45016</v>
      </c>
      <c r="C86" t="s">
        <v>42</v>
      </c>
      <c r="D86" t="s">
        <v>284</v>
      </c>
      <c r="E86" t="s">
        <v>285</v>
      </c>
      <c r="F86" t="s">
        <v>45</v>
      </c>
      <c r="G86" t="s">
        <v>46</v>
      </c>
      <c r="H86" s="14">
        <v>101.1</v>
      </c>
      <c r="I86" s="14">
        <v>49.82</v>
      </c>
      <c r="J86" s="14">
        <v>101.22</v>
      </c>
      <c r="K86" s="14">
        <v>49.27</v>
      </c>
      <c r="L86" s="17">
        <v>-16.622</v>
      </c>
      <c r="M86" s="17">
        <v>146.04230000000001</v>
      </c>
      <c r="N86" s="17">
        <v>-16.622</v>
      </c>
      <c r="O86" s="17">
        <v>146.04230000000001</v>
      </c>
      <c r="P86">
        <v>30</v>
      </c>
      <c r="Q86" s="2">
        <v>103</v>
      </c>
      <c r="R86">
        <v>3</v>
      </c>
      <c r="S86">
        <v>2</v>
      </c>
      <c r="T86">
        <v>134</v>
      </c>
      <c r="U86" s="1">
        <v>45015</v>
      </c>
      <c r="V86" t="s">
        <v>48</v>
      </c>
      <c r="W86" s="1">
        <v>45039</v>
      </c>
      <c r="X86" s="2">
        <v>10</v>
      </c>
      <c r="Y86">
        <v>0</v>
      </c>
      <c r="Z86">
        <v>573</v>
      </c>
      <c r="AA86" t="s">
        <v>49</v>
      </c>
      <c r="AB86" t="s">
        <v>376</v>
      </c>
      <c r="AC86" s="1">
        <v>45025</v>
      </c>
      <c r="AD86">
        <f t="shared" si="10"/>
        <v>9</v>
      </c>
      <c r="AE86" t="s">
        <v>377</v>
      </c>
      <c r="AF86">
        <v>360</v>
      </c>
      <c r="AG86">
        <v>31</v>
      </c>
      <c r="AH86">
        <v>90</v>
      </c>
      <c r="AI86">
        <v>0</v>
      </c>
      <c r="AJ86">
        <v>0</v>
      </c>
      <c r="AK86">
        <f t="shared" si="11"/>
        <v>481</v>
      </c>
      <c r="AL86" s="12">
        <f t="shared" si="12"/>
        <v>0.85435168738898759</v>
      </c>
      <c r="AM86">
        <v>1</v>
      </c>
      <c r="AN86" t="s">
        <v>107</v>
      </c>
    </row>
    <row r="87" spans="1:41" x14ac:dyDescent="0.35">
      <c r="A87">
        <v>132</v>
      </c>
      <c r="B87" s="1">
        <v>45018</v>
      </c>
      <c r="C87" t="s">
        <v>42</v>
      </c>
      <c r="D87" t="s">
        <v>313</v>
      </c>
      <c r="E87" t="s">
        <v>314</v>
      </c>
      <c r="F87" t="s">
        <v>45</v>
      </c>
      <c r="G87" t="s">
        <v>79</v>
      </c>
      <c r="H87" s="14">
        <v>100.88</v>
      </c>
      <c r="I87" s="14">
        <v>54.19</v>
      </c>
      <c r="J87" s="14">
        <v>97.44</v>
      </c>
      <c r="K87" s="14">
        <v>49.68</v>
      </c>
      <c r="L87" s="17">
        <v>-16.657</v>
      </c>
      <c r="M87" s="17">
        <v>145.99</v>
      </c>
      <c r="N87" s="17">
        <v>-16.657</v>
      </c>
      <c r="O87" s="17">
        <v>145.99</v>
      </c>
      <c r="P87">
        <v>27</v>
      </c>
      <c r="Q87" s="2">
        <v>121</v>
      </c>
      <c r="R87">
        <v>3</v>
      </c>
      <c r="S87">
        <v>2</v>
      </c>
      <c r="T87">
        <v>136</v>
      </c>
      <c r="U87" s="1">
        <v>45017</v>
      </c>
      <c r="V87" t="s">
        <v>48</v>
      </c>
      <c r="W87" s="1">
        <v>45039</v>
      </c>
      <c r="X87" s="2">
        <v>10</v>
      </c>
      <c r="Y87">
        <v>0</v>
      </c>
      <c r="Z87">
        <v>411</v>
      </c>
      <c r="AA87" t="s">
        <v>49</v>
      </c>
      <c r="AB87" t="s">
        <v>378</v>
      </c>
      <c r="AC87" s="1">
        <v>45028</v>
      </c>
      <c r="AD87">
        <f t="shared" si="10"/>
        <v>10</v>
      </c>
      <c r="AE87" t="s">
        <v>379</v>
      </c>
      <c r="AF87">
        <v>253</v>
      </c>
      <c r="AG87">
        <v>32</v>
      </c>
      <c r="AH87">
        <v>90</v>
      </c>
      <c r="AI87">
        <v>0</v>
      </c>
      <c r="AJ87">
        <v>0</v>
      </c>
      <c r="AK87">
        <f t="shared" si="11"/>
        <v>375</v>
      </c>
      <c r="AL87" s="12">
        <f t="shared" si="12"/>
        <v>0.93516209476309231</v>
      </c>
      <c r="AM87">
        <v>1</v>
      </c>
      <c r="AN87" t="s">
        <v>107</v>
      </c>
    </row>
    <row r="88" spans="1:41" x14ac:dyDescent="0.35">
      <c r="A88">
        <v>133</v>
      </c>
      <c r="B88" s="1">
        <v>45019</v>
      </c>
      <c r="C88" t="s">
        <v>42</v>
      </c>
      <c r="D88" t="s">
        <v>268</v>
      </c>
      <c r="E88" t="s">
        <v>269</v>
      </c>
      <c r="F88" t="s">
        <v>45</v>
      </c>
      <c r="G88" t="s">
        <v>56</v>
      </c>
      <c r="H88" s="14">
        <v>93.52</v>
      </c>
      <c r="I88" s="14">
        <v>40</v>
      </c>
      <c r="J88" s="14">
        <v>92.04</v>
      </c>
      <c r="K88" s="14">
        <v>38.729999999999997</v>
      </c>
      <c r="L88">
        <v>-16.702000000000002</v>
      </c>
      <c r="M88" s="17">
        <v>145.98599999999999</v>
      </c>
      <c r="N88">
        <v>-16.702000000000002</v>
      </c>
      <c r="O88" s="17">
        <v>145.98599999999999</v>
      </c>
      <c r="P88">
        <v>28.5</v>
      </c>
      <c r="Q88" s="2">
        <v>238</v>
      </c>
      <c r="R88">
        <v>3</v>
      </c>
      <c r="S88">
        <v>3</v>
      </c>
      <c r="T88">
        <f>88+49</f>
        <v>137</v>
      </c>
      <c r="U88" s="1">
        <v>44959</v>
      </c>
      <c r="V88" t="s">
        <v>48</v>
      </c>
      <c r="W88" s="1">
        <v>45039</v>
      </c>
      <c r="X88" s="2">
        <v>10</v>
      </c>
      <c r="Y88">
        <v>1</v>
      </c>
      <c r="Z88">
        <v>582</v>
      </c>
      <c r="AA88" t="s">
        <v>49</v>
      </c>
      <c r="AB88" t="s">
        <v>380</v>
      </c>
      <c r="AC88" s="1">
        <v>45029</v>
      </c>
      <c r="AD88">
        <f t="shared" si="10"/>
        <v>10</v>
      </c>
      <c r="AE88" t="s">
        <v>47</v>
      </c>
      <c r="AF88">
        <v>0</v>
      </c>
      <c r="AG88">
        <v>30</v>
      </c>
      <c r="AH88">
        <v>110</v>
      </c>
      <c r="AI88">
        <v>43</v>
      </c>
      <c r="AJ88">
        <v>18</v>
      </c>
      <c r="AK88">
        <f t="shared" si="11"/>
        <v>201</v>
      </c>
      <c r="AL88" s="12">
        <f t="shared" si="12"/>
        <v>0.35201401050788089</v>
      </c>
      <c r="AM88">
        <v>3</v>
      </c>
      <c r="AN88" t="s">
        <v>381</v>
      </c>
    </row>
    <row r="89" spans="1:41" x14ac:dyDescent="0.35">
      <c r="A89">
        <v>134</v>
      </c>
      <c r="B89" s="1">
        <v>45027</v>
      </c>
      <c r="C89" t="s">
        <v>42</v>
      </c>
      <c r="D89" t="s">
        <v>60</v>
      </c>
      <c r="E89" t="s">
        <v>61</v>
      </c>
      <c r="F89" t="s">
        <v>62</v>
      </c>
      <c r="G89" t="s">
        <v>63</v>
      </c>
      <c r="H89" s="14">
        <v>102.82</v>
      </c>
      <c r="I89" s="14">
        <v>54.16</v>
      </c>
      <c r="J89" s="14">
        <v>88.02</v>
      </c>
      <c r="K89" s="14">
        <v>33.47</v>
      </c>
      <c r="L89" s="17">
        <v>-20.771999999999998</v>
      </c>
      <c r="M89" s="17">
        <v>149.398</v>
      </c>
      <c r="N89" s="17">
        <v>-20.771999999999998</v>
      </c>
      <c r="O89" s="17">
        <v>149.398</v>
      </c>
      <c r="P89">
        <v>28.5</v>
      </c>
      <c r="Q89" s="2">
        <v>242</v>
      </c>
      <c r="R89">
        <v>3</v>
      </c>
      <c r="S89">
        <v>3</v>
      </c>
      <c r="T89">
        <v>144</v>
      </c>
      <c r="U89" s="1">
        <v>45026</v>
      </c>
      <c r="V89" t="s">
        <v>48</v>
      </c>
      <c r="W89" s="1">
        <v>45039</v>
      </c>
      <c r="X89" s="2">
        <v>10</v>
      </c>
      <c r="Y89">
        <v>1</v>
      </c>
      <c r="Z89">
        <v>330</v>
      </c>
      <c r="AA89" t="s">
        <v>49</v>
      </c>
      <c r="AB89" t="s">
        <v>382</v>
      </c>
      <c r="AC89" s="1">
        <v>45038</v>
      </c>
      <c r="AD89">
        <f t="shared" si="10"/>
        <v>11</v>
      </c>
      <c r="AE89" t="s">
        <v>383</v>
      </c>
      <c r="AF89">
        <v>213</v>
      </c>
      <c r="AG89">
        <v>29</v>
      </c>
      <c r="AH89">
        <v>0</v>
      </c>
      <c r="AI89">
        <v>0</v>
      </c>
      <c r="AJ89">
        <v>0</v>
      </c>
      <c r="AK89">
        <f t="shared" si="11"/>
        <v>242</v>
      </c>
      <c r="AL89" s="12">
        <f t="shared" si="12"/>
        <v>0.75862068965517238</v>
      </c>
      <c r="AM89">
        <v>0</v>
      </c>
      <c r="AN89" t="s">
        <v>141</v>
      </c>
    </row>
    <row r="90" spans="1:41" x14ac:dyDescent="0.35">
      <c r="A90">
        <v>135</v>
      </c>
      <c r="B90" s="1">
        <v>45033</v>
      </c>
      <c r="C90" t="s">
        <v>42</v>
      </c>
      <c r="D90" t="s">
        <v>328</v>
      </c>
      <c r="E90" t="s">
        <v>384</v>
      </c>
      <c r="F90" t="s">
        <v>45</v>
      </c>
      <c r="G90" t="s">
        <v>79</v>
      </c>
      <c r="H90" s="14">
        <v>103.68</v>
      </c>
      <c r="I90" s="14">
        <v>55.39</v>
      </c>
      <c r="J90" s="14">
        <v>104.42</v>
      </c>
      <c r="K90" s="14">
        <v>59.93</v>
      </c>
      <c r="L90" s="17">
        <v>-16.657</v>
      </c>
      <c r="M90" s="17">
        <v>145.99</v>
      </c>
      <c r="N90" s="17">
        <v>-16.657</v>
      </c>
      <c r="O90" s="17">
        <v>145.99</v>
      </c>
      <c r="P90">
        <v>27</v>
      </c>
      <c r="Q90" s="2">
        <v>149</v>
      </c>
      <c r="R90">
        <v>3</v>
      </c>
      <c r="S90">
        <v>2</v>
      </c>
      <c r="T90">
        <v>150</v>
      </c>
      <c r="U90" s="1">
        <v>45032</v>
      </c>
      <c r="V90" t="s">
        <v>48</v>
      </c>
      <c r="W90" s="1">
        <v>45039</v>
      </c>
      <c r="X90" s="2">
        <v>10</v>
      </c>
      <c r="Y90">
        <v>0</v>
      </c>
      <c r="Z90">
        <v>701</v>
      </c>
      <c r="AA90" t="s">
        <v>49</v>
      </c>
      <c r="AB90" t="s">
        <v>385</v>
      </c>
      <c r="AC90" s="1">
        <v>45044</v>
      </c>
      <c r="AD90">
        <f t="shared" si="10"/>
        <v>11</v>
      </c>
      <c r="AE90" t="s">
        <v>386</v>
      </c>
      <c r="AF90">
        <v>611</v>
      </c>
      <c r="AG90">
        <v>30</v>
      </c>
      <c r="AH90">
        <v>0</v>
      </c>
      <c r="AI90">
        <v>0</v>
      </c>
      <c r="AJ90">
        <v>0</v>
      </c>
      <c r="AK90">
        <f t="shared" si="11"/>
        <v>641</v>
      </c>
      <c r="AL90" s="12">
        <f t="shared" si="12"/>
        <v>0.9276410998552822</v>
      </c>
      <c r="AM90">
        <v>0</v>
      </c>
      <c r="AN90" t="s">
        <v>141</v>
      </c>
    </row>
    <row r="91" spans="1:41" x14ac:dyDescent="0.35">
      <c r="A91">
        <v>136</v>
      </c>
      <c r="B91" s="1">
        <v>45039</v>
      </c>
      <c r="C91" t="s">
        <v>42</v>
      </c>
      <c r="D91" t="s">
        <v>387</v>
      </c>
      <c r="E91" t="s">
        <v>388</v>
      </c>
      <c r="F91" t="s">
        <v>45</v>
      </c>
      <c r="G91" t="s">
        <v>389</v>
      </c>
      <c r="H91" s="14">
        <v>98.56</v>
      </c>
      <c r="I91" s="14">
        <v>45.96</v>
      </c>
      <c r="J91" s="14">
        <v>97.24</v>
      </c>
      <c r="K91" s="14">
        <v>44.87</v>
      </c>
      <c r="L91" s="17">
        <v>-16.443000000000001</v>
      </c>
      <c r="M91" s="17">
        <v>145.684</v>
      </c>
      <c r="N91" s="17">
        <v>-16.622</v>
      </c>
      <c r="O91" s="17">
        <v>146.04230000000001</v>
      </c>
      <c r="P91">
        <v>28.5</v>
      </c>
      <c r="Q91" s="2">
        <v>66</v>
      </c>
      <c r="R91">
        <v>2</v>
      </c>
      <c r="S91">
        <v>1</v>
      </c>
      <c r="T91">
        <v>156</v>
      </c>
      <c r="U91" s="1">
        <v>45038</v>
      </c>
      <c r="V91" t="s">
        <v>48</v>
      </c>
      <c r="W91" s="1">
        <v>45039</v>
      </c>
      <c r="X91" s="2">
        <v>10</v>
      </c>
      <c r="Y91">
        <v>0</v>
      </c>
      <c r="Z91">
        <v>448</v>
      </c>
      <c r="AA91" t="s">
        <v>49</v>
      </c>
      <c r="AB91" t="s">
        <v>390</v>
      </c>
      <c r="AC91" s="1">
        <v>45048</v>
      </c>
      <c r="AD91">
        <f t="shared" si="10"/>
        <v>9</v>
      </c>
      <c r="AE91" t="s">
        <v>391</v>
      </c>
      <c r="AF91">
        <v>138</v>
      </c>
      <c r="AG91">
        <v>30</v>
      </c>
      <c r="AH91">
        <v>240</v>
      </c>
      <c r="AI91">
        <v>11</v>
      </c>
      <c r="AJ91">
        <v>0</v>
      </c>
      <c r="AK91">
        <f t="shared" si="11"/>
        <v>419</v>
      </c>
      <c r="AL91" s="12">
        <f t="shared" si="12"/>
        <v>0.95662100456621002</v>
      </c>
      <c r="AM91">
        <v>4</v>
      </c>
      <c r="AN91" t="s">
        <v>392</v>
      </c>
    </row>
    <row r="92" spans="1:41" x14ac:dyDescent="0.35">
      <c r="A92">
        <v>137</v>
      </c>
      <c r="B92" s="1">
        <v>45051</v>
      </c>
      <c r="C92" t="s">
        <v>42</v>
      </c>
      <c r="D92" t="s">
        <v>268</v>
      </c>
      <c r="E92" t="s">
        <v>269</v>
      </c>
      <c r="F92" t="s">
        <v>45</v>
      </c>
      <c r="G92" t="s">
        <v>56</v>
      </c>
      <c r="H92" s="14">
        <v>93.52</v>
      </c>
      <c r="I92" s="14">
        <v>40</v>
      </c>
      <c r="J92" s="14">
        <v>92.04</v>
      </c>
      <c r="K92" s="14">
        <v>38.729999999999997</v>
      </c>
      <c r="L92">
        <v>-16.702000000000002</v>
      </c>
      <c r="M92" s="17">
        <v>145.98599999999999</v>
      </c>
      <c r="N92">
        <v>-16.702000000000002</v>
      </c>
      <c r="O92" s="17">
        <v>145.98599999999999</v>
      </c>
      <c r="P92">
        <v>28.5</v>
      </c>
      <c r="Q92" s="2">
        <v>238</v>
      </c>
      <c r="R92">
        <v>3</v>
      </c>
      <c r="S92">
        <v>4</v>
      </c>
      <c r="T92">
        <f>88+81</f>
        <v>169</v>
      </c>
      <c r="U92" s="1">
        <v>45050</v>
      </c>
      <c r="V92" t="s">
        <v>48</v>
      </c>
      <c r="W92" s="1">
        <v>45051</v>
      </c>
      <c r="X92" s="2">
        <v>10</v>
      </c>
      <c r="Y92">
        <v>0</v>
      </c>
      <c r="Z92">
        <v>578</v>
      </c>
      <c r="AA92" t="s">
        <v>49</v>
      </c>
      <c r="AB92" t="s">
        <v>393</v>
      </c>
      <c r="AC92" s="1">
        <v>45061</v>
      </c>
      <c r="AD92">
        <f t="shared" si="10"/>
        <v>10</v>
      </c>
      <c r="AE92" t="s">
        <v>394</v>
      </c>
      <c r="AF92">
        <v>277</v>
      </c>
      <c r="AG92">
        <v>30</v>
      </c>
      <c r="AH92">
        <v>240</v>
      </c>
      <c r="AI92">
        <v>0</v>
      </c>
      <c r="AJ92">
        <v>0</v>
      </c>
      <c r="AK92">
        <f t="shared" si="11"/>
        <v>547</v>
      </c>
      <c r="AL92" s="12">
        <f t="shared" si="12"/>
        <v>0.9630281690140845</v>
      </c>
      <c r="AM92">
        <v>4</v>
      </c>
      <c r="AN92" t="s">
        <v>395</v>
      </c>
    </row>
    <row r="93" spans="1:41" x14ac:dyDescent="0.35">
      <c r="A93">
        <v>138</v>
      </c>
      <c r="B93" s="1">
        <v>45052</v>
      </c>
      <c r="C93" t="s">
        <v>42</v>
      </c>
      <c r="D93" t="s">
        <v>308</v>
      </c>
      <c r="E93" t="s">
        <v>309</v>
      </c>
      <c r="F93" t="s">
        <v>45</v>
      </c>
      <c r="G93" t="s">
        <v>46</v>
      </c>
      <c r="H93" s="14">
        <v>94.8</v>
      </c>
      <c r="I93" s="14">
        <v>45.82</v>
      </c>
      <c r="J93" s="14">
        <v>99.72</v>
      </c>
      <c r="K93" s="14">
        <v>53.26</v>
      </c>
      <c r="L93" s="17">
        <v>-16.622</v>
      </c>
      <c r="M93" s="17">
        <v>146.04230000000001</v>
      </c>
      <c r="N93" s="17">
        <v>-16.622</v>
      </c>
      <c r="O93" s="17">
        <v>146.04230000000001</v>
      </c>
      <c r="P93">
        <v>28.5</v>
      </c>
      <c r="Q93" s="2">
        <v>32</v>
      </c>
      <c r="R93">
        <v>2</v>
      </c>
      <c r="S93">
        <v>2</v>
      </c>
      <c r="T93">
        <v>170</v>
      </c>
      <c r="U93" s="1">
        <v>45061</v>
      </c>
      <c r="V93" t="s">
        <v>48</v>
      </c>
      <c r="W93" s="1">
        <v>45051</v>
      </c>
      <c r="X93" s="2">
        <v>10</v>
      </c>
      <c r="Y93">
        <v>0</v>
      </c>
      <c r="Z93">
        <v>617</v>
      </c>
      <c r="AA93" t="s">
        <v>49</v>
      </c>
      <c r="AB93" t="s">
        <v>396</v>
      </c>
      <c r="AC93" s="1">
        <v>45061</v>
      </c>
      <c r="AD93">
        <f t="shared" si="10"/>
        <v>9</v>
      </c>
      <c r="AE93" t="s">
        <v>397</v>
      </c>
      <c r="AF93">
        <v>379</v>
      </c>
      <c r="AG93">
        <v>30</v>
      </c>
      <c r="AH93">
        <v>0</v>
      </c>
      <c r="AI93">
        <v>0</v>
      </c>
      <c r="AJ93">
        <v>10</v>
      </c>
      <c r="AK93">
        <f t="shared" si="11"/>
        <v>419</v>
      </c>
      <c r="AL93" s="12">
        <f t="shared" si="12"/>
        <v>0.69028006589785829</v>
      </c>
      <c r="AM93">
        <v>4</v>
      </c>
      <c r="AN93" t="s">
        <v>398</v>
      </c>
      <c r="AO93" t="s">
        <v>399</v>
      </c>
    </row>
    <row r="94" spans="1:41" x14ac:dyDescent="0.35">
      <c r="A94">
        <v>139</v>
      </c>
      <c r="B94" s="1">
        <v>45056</v>
      </c>
      <c r="C94" t="s">
        <v>42</v>
      </c>
      <c r="D94" t="s">
        <v>400</v>
      </c>
      <c r="E94" t="s">
        <v>401</v>
      </c>
      <c r="F94" t="s">
        <v>45</v>
      </c>
      <c r="G94" t="s">
        <v>236</v>
      </c>
      <c r="H94" s="14">
        <v>97.28</v>
      </c>
      <c r="I94" s="14">
        <v>46</v>
      </c>
      <c r="J94" s="14">
        <v>93.24</v>
      </c>
      <c r="K94" s="14">
        <v>35.770000000000003</v>
      </c>
      <c r="L94" s="17">
        <v>-16.443000000000001</v>
      </c>
      <c r="M94" s="17">
        <v>145.684</v>
      </c>
      <c r="N94" s="17">
        <v>-16.443000000000001</v>
      </c>
      <c r="O94" s="17">
        <v>145.684</v>
      </c>
      <c r="P94">
        <v>28.5</v>
      </c>
      <c r="Q94" s="2">
        <v>56</v>
      </c>
      <c r="R94">
        <v>2</v>
      </c>
      <c r="S94">
        <v>1</v>
      </c>
      <c r="T94">
        <v>174</v>
      </c>
      <c r="U94" s="1">
        <v>45055</v>
      </c>
      <c r="V94" t="s">
        <v>48</v>
      </c>
      <c r="W94" s="1">
        <v>45056</v>
      </c>
      <c r="X94" s="2">
        <v>10</v>
      </c>
      <c r="Y94">
        <v>0</v>
      </c>
      <c r="Z94">
        <v>337</v>
      </c>
      <c r="AA94" t="s">
        <v>49</v>
      </c>
      <c r="AB94" t="s">
        <v>402</v>
      </c>
      <c r="AC94" s="1">
        <v>45065</v>
      </c>
      <c r="AD94">
        <f t="shared" si="10"/>
        <v>9</v>
      </c>
      <c r="AE94" t="s">
        <v>403</v>
      </c>
      <c r="AF94">
        <v>150</v>
      </c>
      <c r="AG94">
        <v>30</v>
      </c>
      <c r="AH94">
        <v>80</v>
      </c>
      <c r="AI94">
        <v>0</v>
      </c>
      <c r="AJ94">
        <v>7</v>
      </c>
      <c r="AK94">
        <f t="shared" si="11"/>
        <v>267</v>
      </c>
      <c r="AL94" s="12">
        <f t="shared" si="12"/>
        <v>0.8165137614678899</v>
      </c>
      <c r="AM94">
        <v>4</v>
      </c>
      <c r="AN94" t="s">
        <v>404</v>
      </c>
    </row>
    <row r="95" spans="1:41" x14ac:dyDescent="0.35">
      <c r="A95">
        <v>140</v>
      </c>
      <c r="B95" s="1">
        <v>45061</v>
      </c>
      <c r="C95" t="s">
        <v>42</v>
      </c>
      <c r="D95" t="s">
        <v>203</v>
      </c>
      <c r="E95" t="s">
        <v>204</v>
      </c>
      <c r="F95" t="s">
        <v>45</v>
      </c>
      <c r="G95" t="s">
        <v>205</v>
      </c>
      <c r="H95" s="14">
        <v>88.1</v>
      </c>
      <c r="I95" s="14">
        <v>34.49</v>
      </c>
      <c r="J95" s="14">
        <v>84.12</v>
      </c>
      <c r="K95" s="14">
        <v>26.52</v>
      </c>
      <c r="L95" s="17">
        <v>-18.082999999999998</v>
      </c>
      <c r="M95" s="17">
        <v>146.55000000000001</v>
      </c>
      <c r="N95" s="17">
        <v>-18.082999999999998</v>
      </c>
      <c r="O95" s="17">
        <v>146.55000000000001</v>
      </c>
      <c r="P95">
        <v>28.5</v>
      </c>
      <c r="Q95" s="2">
        <v>15</v>
      </c>
      <c r="R95">
        <v>2</v>
      </c>
      <c r="S95">
        <v>2</v>
      </c>
      <c r="T95">
        <v>179</v>
      </c>
      <c r="U95" s="1">
        <v>45060</v>
      </c>
      <c r="V95" t="s">
        <v>48</v>
      </c>
      <c r="W95" s="1">
        <v>45061</v>
      </c>
      <c r="X95" s="2">
        <v>10</v>
      </c>
      <c r="Y95">
        <v>0</v>
      </c>
      <c r="Z95">
        <v>260</v>
      </c>
      <c r="AA95" t="s">
        <v>49</v>
      </c>
      <c r="AB95" t="s">
        <v>405</v>
      </c>
      <c r="AC95" s="1">
        <v>45070</v>
      </c>
      <c r="AD95">
        <f t="shared" si="10"/>
        <v>9</v>
      </c>
      <c r="AE95" t="s">
        <v>47</v>
      </c>
      <c r="AF95">
        <v>0</v>
      </c>
      <c r="AG95">
        <v>30</v>
      </c>
      <c r="AH95">
        <v>0</v>
      </c>
      <c r="AI95">
        <v>0</v>
      </c>
      <c r="AJ95">
        <v>48</v>
      </c>
      <c r="AK95">
        <f t="shared" si="11"/>
        <v>78</v>
      </c>
      <c r="AL95" s="12">
        <f t="shared" si="12"/>
        <v>0.312</v>
      </c>
      <c r="AM95">
        <v>4</v>
      </c>
      <c r="AN95" t="s">
        <v>406</v>
      </c>
    </row>
    <row r="96" spans="1:41" x14ac:dyDescent="0.35">
      <c r="A96">
        <v>141</v>
      </c>
      <c r="B96" s="1">
        <v>45062</v>
      </c>
      <c r="C96" t="s">
        <v>42</v>
      </c>
      <c r="D96" t="s">
        <v>407</v>
      </c>
      <c r="E96" t="s">
        <v>388</v>
      </c>
      <c r="F96" t="s">
        <v>45</v>
      </c>
      <c r="G96" t="s">
        <v>408</v>
      </c>
      <c r="H96" s="14">
        <v>98.56</v>
      </c>
      <c r="I96" s="14">
        <v>45.96</v>
      </c>
      <c r="J96" s="14">
        <v>97.24</v>
      </c>
      <c r="K96" s="14">
        <v>44.87</v>
      </c>
      <c r="L96" s="17">
        <v>-16.443000000000001</v>
      </c>
      <c r="M96" s="17">
        <v>145.684</v>
      </c>
      <c r="N96" s="17">
        <v>-16.622</v>
      </c>
      <c r="O96" s="17">
        <v>146.04230000000001</v>
      </c>
      <c r="P96">
        <v>28.5</v>
      </c>
      <c r="Q96" s="2">
        <v>66</v>
      </c>
      <c r="R96">
        <v>2</v>
      </c>
      <c r="S96">
        <v>2</v>
      </c>
      <c r="T96">
        <v>180</v>
      </c>
      <c r="U96" s="1">
        <v>45061</v>
      </c>
      <c r="V96" t="s">
        <v>48</v>
      </c>
      <c r="W96" s="1">
        <v>45062</v>
      </c>
      <c r="X96" s="2">
        <v>10</v>
      </c>
      <c r="Y96">
        <v>0</v>
      </c>
      <c r="Z96">
        <v>421</v>
      </c>
      <c r="AA96" t="s">
        <v>49</v>
      </c>
      <c r="AB96" t="s">
        <v>409</v>
      </c>
      <c r="AC96" s="1">
        <v>45071</v>
      </c>
      <c r="AD96">
        <f t="shared" si="10"/>
        <v>9</v>
      </c>
      <c r="AE96" t="s">
        <v>47</v>
      </c>
      <c r="AF96" t="s">
        <v>47</v>
      </c>
      <c r="AG96">
        <v>30</v>
      </c>
      <c r="AH96">
        <v>80</v>
      </c>
      <c r="AI96" t="s">
        <v>47</v>
      </c>
      <c r="AJ96" t="s">
        <v>47</v>
      </c>
      <c r="AK96" t="s">
        <v>47</v>
      </c>
      <c r="AL96" s="20" t="s">
        <v>47</v>
      </c>
      <c r="AM96" s="21">
        <v>4</v>
      </c>
      <c r="AN96" s="21" t="s">
        <v>410</v>
      </c>
      <c r="AO96" s="21" t="s">
        <v>411</v>
      </c>
    </row>
    <row r="97" spans="1:41" x14ac:dyDescent="0.35">
      <c r="A97">
        <v>142</v>
      </c>
      <c r="B97" s="1">
        <v>45064</v>
      </c>
      <c r="C97" t="s">
        <v>42</v>
      </c>
      <c r="D97" t="s">
        <v>412</v>
      </c>
      <c r="E97" t="s">
        <v>413</v>
      </c>
      <c r="F97" t="s">
        <v>45</v>
      </c>
      <c r="G97" t="s">
        <v>46</v>
      </c>
      <c r="H97" s="14">
        <v>93.78</v>
      </c>
      <c r="I97" s="14">
        <v>49.73</v>
      </c>
      <c r="J97" s="14">
        <v>94</v>
      </c>
      <c r="K97" s="14">
        <v>47.74</v>
      </c>
      <c r="L97" s="17">
        <v>-16.622</v>
      </c>
      <c r="M97" s="17">
        <v>146.04230000000001</v>
      </c>
      <c r="N97" s="17">
        <v>-16.622</v>
      </c>
      <c r="O97" s="17">
        <v>146.04230000000001</v>
      </c>
      <c r="P97">
        <v>28.5</v>
      </c>
      <c r="Q97" s="2">
        <v>17</v>
      </c>
      <c r="R97">
        <v>2</v>
      </c>
      <c r="S97">
        <v>1</v>
      </c>
      <c r="T97">
        <v>182</v>
      </c>
      <c r="U97" s="1">
        <v>45063</v>
      </c>
      <c r="V97" t="s">
        <v>48</v>
      </c>
      <c r="W97" s="1">
        <v>45064</v>
      </c>
      <c r="X97" s="2">
        <v>10</v>
      </c>
      <c r="Y97">
        <v>0</v>
      </c>
      <c r="Z97">
        <v>448</v>
      </c>
      <c r="AA97" t="s">
        <v>49</v>
      </c>
      <c r="AB97" t="s">
        <v>414</v>
      </c>
      <c r="AC97" s="1">
        <v>45074</v>
      </c>
      <c r="AD97">
        <f t="shared" si="10"/>
        <v>10</v>
      </c>
      <c r="AE97" t="s">
        <v>415</v>
      </c>
      <c r="AF97">
        <v>113</v>
      </c>
      <c r="AG97">
        <v>30</v>
      </c>
      <c r="AH97">
        <v>240</v>
      </c>
      <c r="AI97">
        <v>0</v>
      </c>
      <c r="AJ97">
        <v>3</v>
      </c>
      <c r="AK97">
        <f>SUM(AF97:AJ97)</f>
        <v>386</v>
      </c>
      <c r="AL97" s="12">
        <f>AK97/(Z97-Y97-X97)</f>
        <v>0.88127853881278539</v>
      </c>
      <c r="AM97">
        <v>4</v>
      </c>
      <c r="AN97" t="s">
        <v>416</v>
      </c>
    </row>
    <row r="98" spans="1:41" x14ac:dyDescent="0.35">
      <c r="A98">
        <v>143</v>
      </c>
      <c r="B98" s="1">
        <v>45065</v>
      </c>
      <c r="C98" t="s">
        <v>42</v>
      </c>
      <c r="D98" t="s">
        <v>417</v>
      </c>
      <c r="E98" t="s">
        <v>418</v>
      </c>
      <c r="F98" t="s">
        <v>45</v>
      </c>
      <c r="G98" t="s">
        <v>419</v>
      </c>
      <c r="H98" s="14">
        <v>94.26</v>
      </c>
      <c r="I98" s="14">
        <v>41.63</v>
      </c>
      <c r="J98" s="14">
        <v>94.9</v>
      </c>
      <c r="K98" s="14">
        <v>42.78</v>
      </c>
      <c r="L98" s="17">
        <v>-16.622</v>
      </c>
      <c r="M98" s="17">
        <v>146.04230000000001</v>
      </c>
      <c r="N98" s="17">
        <v>-16.657</v>
      </c>
      <c r="O98" s="17">
        <v>145.99</v>
      </c>
      <c r="P98">
        <v>28.5</v>
      </c>
      <c r="Q98" s="2">
        <v>113</v>
      </c>
      <c r="R98">
        <v>2</v>
      </c>
      <c r="S98">
        <v>1</v>
      </c>
      <c r="T98">
        <v>183</v>
      </c>
      <c r="U98" s="1">
        <v>45064</v>
      </c>
      <c r="V98" t="s">
        <v>48</v>
      </c>
      <c r="W98" s="1">
        <v>45065</v>
      </c>
      <c r="X98" s="2">
        <v>10</v>
      </c>
      <c r="Y98">
        <v>0</v>
      </c>
      <c r="Z98">
        <v>367</v>
      </c>
      <c r="AA98" t="s">
        <v>49</v>
      </c>
      <c r="AB98" t="s">
        <v>420</v>
      </c>
      <c r="AC98" s="1">
        <v>45075</v>
      </c>
      <c r="AD98">
        <f t="shared" si="10"/>
        <v>10</v>
      </c>
      <c r="AE98" t="s">
        <v>421</v>
      </c>
      <c r="AF98">
        <v>79</v>
      </c>
      <c r="AG98">
        <v>30</v>
      </c>
      <c r="AH98">
        <v>0</v>
      </c>
      <c r="AI98">
        <v>0</v>
      </c>
      <c r="AJ98">
        <v>8</v>
      </c>
      <c r="AK98">
        <f>SUM(AF98:AJ98)</f>
        <v>117</v>
      </c>
      <c r="AL98" s="12">
        <f>AK98/(Z98-Y98-X98)</f>
        <v>0.32773109243697479</v>
      </c>
      <c r="AM98">
        <v>4</v>
      </c>
      <c r="AN98" t="s">
        <v>422</v>
      </c>
    </row>
    <row r="99" spans="1:41" x14ac:dyDescent="0.35">
      <c r="A99">
        <v>144</v>
      </c>
      <c r="B99" s="1">
        <v>45071</v>
      </c>
      <c r="C99" t="s">
        <v>42</v>
      </c>
      <c r="D99" t="s">
        <v>423</v>
      </c>
      <c r="E99" t="s">
        <v>424</v>
      </c>
      <c r="F99" t="s">
        <v>45</v>
      </c>
      <c r="G99" t="s">
        <v>79</v>
      </c>
      <c r="H99" s="14" t="s">
        <v>47</v>
      </c>
      <c r="I99" s="14" t="s">
        <v>47</v>
      </c>
      <c r="J99" s="14" t="s">
        <v>47</v>
      </c>
      <c r="K99" s="14" t="s">
        <v>47</v>
      </c>
      <c r="L99" s="17">
        <v>-16.657</v>
      </c>
      <c r="M99" s="17">
        <v>145.99</v>
      </c>
      <c r="N99" s="17">
        <v>-16.657</v>
      </c>
      <c r="O99" s="17">
        <v>145.99</v>
      </c>
      <c r="P99">
        <v>28.5</v>
      </c>
      <c r="Q99" s="2">
        <v>69</v>
      </c>
      <c r="R99">
        <v>2</v>
      </c>
      <c r="S99">
        <v>1</v>
      </c>
      <c r="T99">
        <v>189</v>
      </c>
      <c r="U99" s="1">
        <v>45070</v>
      </c>
      <c r="V99" t="s">
        <v>48</v>
      </c>
      <c r="W99" t="s">
        <v>47</v>
      </c>
      <c r="X99" s="2">
        <v>10</v>
      </c>
      <c r="Y99">
        <v>0</v>
      </c>
      <c r="Z99" t="s">
        <v>47</v>
      </c>
      <c r="AA99" t="s">
        <v>47</v>
      </c>
      <c r="AB99" t="s">
        <v>47</v>
      </c>
      <c r="AC99" t="s">
        <v>47</v>
      </c>
      <c r="AD99" t="s">
        <v>47</v>
      </c>
      <c r="AE99" t="s">
        <v>47</v>
      </c>
      <c r="AF99" t="s">
        <v>47</v>
      </c>
      <c r="AG99" t="s">
        <v>47</v>
      </c>
      <c r="AH99" t="s">
        <v>47</v>
      </c>
      <c r="AI99" t="s">
        <v>47</v>
      </c>
      <c r="AJ99" t="s">
        <v>47</v>
      </c>
      <c r="AK99" t="s">
        <v>47</v>
      </c>
      <c r="AL99" s="21" t="s">
        <v>47</v>
      </c>
      <c r="AM99" s="21">
        <v>4</v>
      </c>
      <c r="AN99" s="21" t="s">
        <v>425</v>
      </c>
      <c r="AO99" s="21" t="s">
        <v>426</v>
      </c>
    </row>
    <row r="100" spans="1:41" x14ac:dyDescent="0.35">
      <c r="A100">
        <v>145</v>
      </c>
      <c r="B100" s="1">
        <v>45072</v>
      </c>
      <c r="C100" t="s">
        <v>42</v>
      </c>
      <c r="D100" t="s">
        <v>427</v>
      </c>
      <c r="E100" t="s">
        <v>428</v>
      </c>
      <c r="F100" t="s">
        <v>45</v>
      </c>
      <c r="G100" t="s">
        <v>429</v>
      </c>
      <c r="H100" s="14" t="s">
        <v>47</v>
      </c>
      <c r="I100" s="14" t="s">
        <v>47</v>
      </c>
      <c r="J100" s="14" t="s">
        <v>47</v>
      </c>
      <c r="K100" s="14" t="s">
        <v>47</v>
      </c>
      <c r="L100" s="17">
        <v>-15.08417</v>
      </c>
      <c r="M100" s="17">
        <v>145.36689999999999</v>
      </c>
      <c r="N100" s="17">
        <v>-15.08417</v>
      </c>
      <c r="O100" s="17">
        <v>145.36689999999999</v>
      </c>
      <c r="P100">
        <v>28.5</v>
      </c>
      <c r="Q100" s="2">
        <v>148</v>
      </c>
      <c r="R100">
        <v>2</v>
      </c>
      <c r="S100">
        <v>1</v>
      </c>
      <c r="T100">
        <v>175</v>
      </c>
      <c r="U100" s="1">
        <v>45071</v>
      </c>
      <c r="V100" t="s">
        <v>48</v>
      </c>
      <c r="W100" s="1">
        <v>45072</v>
      </c>
      <c r="X100" s="2">
        <v>10</v>
      </c>
      <c r="Y100">
        <v>0</v>
      </c>
      <c r="Z100">
        <v>435</v>
      </c>
      <c r="AA100" t="s">
        <v>49</v>
      </c>
      <c r="AB100" t="s">
        <v>430</v>
      </c>
      <c r="AC100" t="s">
        <v>47</v>
      </c>
      <c r="AD100" t="s">
        <v>47</v>
      </c>
      <c r="AE100" t="s">
        <v>47</v>
      </c>
      <c r="AF100" t="s">
        <v>47</v>
      </c>
      <c r="AG100" t="s">
        <v>47</v>
      </c>
      <c r="AH100" t="s">
        <v>47</v>
      </c>
      <c r="AI100" t="s">
        <v>47</v>
      </c>
      <c r="AJ100" t="s">
        <v>47</v>
      </c>
      <c r="AK100" t="s">
        <v>47</v>
      </c>
      <c r="AL100" s="21" t="s">
        <v>47</v>
      </c>
      <c r="AM100" s="21">
        <v>4</v>
      </c>
      <c r="AN100" s="21" t="s">
        <v>425</v>
      </c>
      <c r="AO100" s="21"/>
    </row>
  </sheetData>
  <sortState xmlns:xlrd2="http://schemas.microsoft.com/office/spreadsheetml/2017/richdata2" ref="A2:AO100">
    <sortCondition ref="A2:A100"/>
  </sortState>
  <phoneticPr fontId="3" type="noConversion"/>
  <printOptions gridLines="1"/>
  <pageMargins left="0.70866141732283472" right="0.70866141732283472" top="0.74803149606299213" bottom="0.74803149606299213" header="0.31496062992125984" footer="0.31496062992125984"/>
  <pageSetup paperSize="9"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799D4-13BE-4EB2-A03F-CC7FFD33C435}">
  <dimension ref="A1:B1"/>
  <sheetViews>
    <sheetView workbookViewId="0">
      <selection activeCell="B1" sqref="B1"/>
    </sheetView>
  </sheetViews>
  <sheetFormatPr defaultRowHeight="14.5" x14ac:dyDescent="0.35"/>
  <cols>
    <col min="1" max="1" width="16" customWidth="1"/>
    <col min="2" max="2" width="127.7265625" customWidth="1"/>
  </cols>
  <sheetData>
    <row r="1" spans="1:2" x14ac:dyDescent="0.35">
      <c r="A1" t="s">
        <v>431</v>
      </c>
      <c r="B1" t="s">
        <v>432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Clutches</vt:lpstr>
      <vt:lpstr>Glossary</vt:lpstr>
      <vt:lpstr>Clutches!Print_Titles</vt:lpstr>
    </vt:vector>
  </TitlesOfParts>
  <Manager/>
  <Company>James Cook University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Elliott Schmidt</dc:creator>
  <cp:keywords/>
  <dc:description/>
  <cp:lastModifiedBy>Elliott Schmidt</cp:lastModifiedBy>
  <cp:revision/>
  <dcterms:created xsi:type="dcterms:W3CDTF">2022-12-17T08:51:26Z</dcterms:created>
  <dcterms:modified xsi:type="dcterms:W3CDTF">2024-06-25T23:15:19Z</dcterms:modified>
  <cp:category/>
  <cp:contentStatus/>
</cp:coreProperties>
</file>