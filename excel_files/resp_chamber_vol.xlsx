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527762\OneDrive - James Cook University\PhD dissertation\Data\Chapter4_Latitude\excel_files\"/>
    </mc:Choice>
  </mc:AlternateContent>
  <xr:revisionPtr revIDLastSave="0" documentId="13_ncr:1_{5D63A484-9C24-4A68-80A7-BB2BD24EC15F}" xr6:coauthVersionLast="47" xr6:coauthVersionMax="47" xr10:uidLastSave="{00000000-0000-0000-0000-000000000000}"/>
  <bookViews>
    <workbookView xWindow="-120" yWindow="-120" windowWidth="29040" windowHeight="17520" xr2:uid="{A990E96A-CAA8-4C22-B73C-3DE154DCA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Q18" i="1"/>
  <c r="Q17" i="1"/>
  <c r="Q16" i="1"/>
  <c r="Q15" i="1"/>
  <c r="Q14" i="1"/>
  <c r="Q13" i="1"/>
  <c r="Q12" i="1"/>
  <c r="N19" i="1"/>
  <c r="N18" i="1"/>
  <c r="N17" i="1"/>
  <c r="N16" i="1"/>
  <c r="N15" i="1"/>
  <c r="N14" i="1"/>
  <c r="N13" i="1"/>
  <c r="N12" i="1"/>
  <c r="K19" i="1"/>
  <c r="K18" i="1"/>
  <c r="K17" i="1"/>
  <c r="K16" i="1"/>
  <c r="K15" i="1"/>
  <c r="K14" i="1"/>
  <c r="K13" i="1"/>
  <c r="K12" i="1"/>
  <c r="H19" i="1"/>
  <c r="H18" i="1"/>
  <c r="H17" i="1"/>
  <c r="H16" i="1"/>
  <c r="H15" i="1"/>
  <c r="H14" i="1"/>
  <c r="H13" i="1"/>
  <c r="H12" i="1"/>
  <c r="E19" i="1"/>
  <c r="E18" i="1"/>
  <c r="E17" i="1"/>
  <c r="E16" i="1"/>
  <c r="E15" i="1"/>
  <c r="R15" i="1" s="1"/>
  <c r="E14" i="1"/>
  <c r="R14" i="1" s="1"/>
  <c r="E13" i="1"/>
  <c r="R13" i="1" s="1"/>
  <c r="E12" i="1"/>
  <c r="Q4" i="1"/>
  <c r="Q5" i="1"/>
  <c r="Q6" i="1"/>
  <c r="Q7" i="1"/>
  <c r="Q8" i="1"/>
  <c r="Q9" i="1"/>
  <c r="Q10" i="1"/>
  <c r="Q3" i="1"/>
  <c r="N4" i="1"/>
  <c r="N5" i="1"/>
  <c r="N6" i="1"/>
  <c r="N7" i="1"/>
  <c r="N8" i="1"/>
  <c r="N9" i="1"/>
  <c r="N10" i="1"/>
  <c r="N3" i="1"/>
  <c r="K4" i="1"/>
  <c r="K5" i="1"/>
  <c r="K6" i="1"/>
  <c r="K7" i="1"/>
  <c r="K8" i="1"/>
  <c r="K9" i="1"/>
  <c r="K10" i="1"/>
  <c r="K3" i="1"/>
  <c r="H5" i="1"/>
  <c r="H6" i="1"/>
  <c r="H7" i="1"/>
  <c r="H8" i="1"/>
  <c r="H9" i="1"/>
  <c r="H10" i="1"/>
  <c r="H4" i="1"/>
  <c r="H3" i="1"/>
  <c r="E4" i="1"/>
  <c r="R4" i="1" s="1"/>
  <c r="E5" i="1"/>
  <c r="R5" i="1" s="1"/>
  <c r="E6" i="1"/>
  <c r="R6" i="1" s="1"/>
  <c r="E7" i="1"/>
  <c r="R7" i="1" s="1"/>
  <c r="E8" i="1"/>
  <c r="R8" i="1" s="1"/>
  <c r="E9" i="1"/>
  <c r="R9" i="1" s="1"/>
  <c r="E10" i="1"/>
  <c r="R10" i="1" s="1"/>
  <c r="E3" i="1"/>
  <c r="R3" i="1" s="1"/>
  <c r="R16" i="1" l="1"/>
  <c r="R12" i="1"/>
  <c r="R17" i="1"/>
  <c r="R18" i="1"/>
  <c r="R19" i="1"/>
</calcChain>
</file>

<file path=xl/sharedStrings.xml><?xml version="1.0" encoding="utf-8"?>
<sst xmlns="http://schemas.openxmlformats.org/spreadsheetml/2006/main" count="36" uniqueCount="36">
  <si>
    <t>Chamber_ID</t>
  </si>
  <si>
    <t>chamber</t>
  </si>
  <si>
    <t>ASUS1.70</t>
  </si>
  <si>
    <t>ASUS2.70</t>
  </si>
  <si>
    <t>ASUS3.70</t>
  </si>
  <si>
    <t>ASUS4.70</t>
  </si>
  <si>
    <t>DELL1.70</t>
  </si>
  <si>
    <t>DELL2.70</t>
  </si>
  <si>
    <t>DELL3.70</t>
  </si>
  <si>
    <t>DELL4.70</t>
  </si>
  <si>
    <t>ASUS1.100</t>
  </si>
  <si>
    <t>ASUS2.100</t>
  </si>
  <si>
    <t>ASUS3.100</t>
  </si>
  <si>
    <t>ASUS4.100</t>
  </si>
  <si>
    <t>DELL1.100</t>
  </si>
  <si>
    <t>DELL2.100</t>
  </si>
  <si>
    <t>DELL3.100</t>
  </si>
  <si>
    <t>DELL4.100</t>
  </si>
  <si>
    <t>section2_length</t>
  </si>
  <si>
    <t>section2_vol</t>
  </si>
  <si>
    <t>section3_length</t>
  </si>
  <si>
    <t>section3_vol</t>
  </si>
  <si>
    <t>section4_length</t>
  </si>
  <si>
    <t>section4_vol</t>
  </si>
  <si>
    <t>section5_length</t>
  </si>
  <si>
    <t>section2_diameter</t>
  </si>
  <si>
    <t>section3_diameter</t>
  </si>
  <si>
    <t>section4_diameter</t>
  </si>
  <si>
    <t>section5_diameter</t>
  </si>
  <si>
    <t>section5_vol</t>
  </si>
  <si>
    <t>section6_length</t>
  </si>
  <si>
    <t>section6_diameter</t>
  </si>
  <si>
    <t>section6_vol</t>
  </si>
  <si>
    <t>total_chmaber_vol</t>
  </si>
  <si>
    <t>recirc_flowrate (ml/sec)</t>
  </si>
  <si>
    <t>flush_flowrate (ml/sec)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</si>
</sst>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Border="1"/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0" fontId="0" fillId="0" borderId="4" xfId="0" applyBorder="1"/>
    <xf numFmtId="0" fontId="1" fillId="0" borderId="4" xfId="0" applyFont="1" applyBorder="1"/>
    <xf numFmtId="2" fontId="1" fillId="0" borderId="5" xfId="0" applyNumberFormat="1" applyFont="1" applyBorder="1"/>
    <xf numFmtId="2" fontId="0" fillId="0" borderId="4" xfId="0" applyNumberFormat="1" applyBorder="1"/>
    <xf numFmtId="0" fontId="0" fillId="2" borderId="0" xfId="0" applyFill="1"/>
    <xf numFmtId="2" fontId="1" fillId="2" borderId="2" xfId="0" applyNumberFormat="1" applyFont="1" applyFill="1" applyBorder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A443-859E-443F-8D70-88C6BB379C24}">
  <sheetPr>
    <pageSetUpPr fitToPage="1"/>
  </sheetPr>
  <dimension ref="A1:T19"/>
  <sheetViews>
    <sheetView tabSelected="1" topLeftCell="E1" workbookViewId="0">
      <selection activeCell="A11" sqref="A11:T11"/>
    </sheetView>
  </sheetViews>
  <sheetFormatPr defaultRowHeight="15" x14ac:dyDescent="0.25"/>
  <cols>
    <col min="1" max="1" width="13.42578125" customWidth="1"/>
    <col min="3" max="3" width="15.42578125" customWidth="1"/>
    <col min="4" max="5" width="16.5703125" customWidth="1"/>
    <col min="6" max="6" width="16" customWidth="1"/>
    <col min="7" max="7" width="17.7109375" customWidth="1"/>
    <col min="8" max="8" width="19.85546875" customWidth="1"/>
    <col min="9" max="9" width="18" customWidth="1"/>
    <col min="10" max="10" width="15.42578125" customWidth="1"/>
    <col min="11" max="11" width="14.140625" customWidth="1"/>
    <col min="12" max="12" width="14.85546875" customWidth="1"/>
    <col min="13" max="13" width="19.140625" customWidth="1"/>
    <col min="14" max="14" width="14.42578125" customWidth="1"/>
    <col min="15" max="15" width="15.140625" customWidth="1"/>
    <col min="16" max="16" width="16.5703125" customWidth="1"/>
    <col min="17" max="17" width="14.42578125" customWidth="1"/>
    <col min="18" max="18" width="17.85546875" style="2" customWidth="1"/>
    <col min="19" max="19" width="21.5703125" style="2" customWidth="1"/>
    <col min="20" max="20" width="22.42578125" customWidth="1"/>
  </cols>
  <sheetData>
    <row r="1" spans="1:20" ht="4.5" customHeight="1" thickBot="1" x14ac:dyDescent="0.3"/>
    <row r="2" spans="1:20" x14ac:dyDescent="0.25">
      <c r="A2" t="s">
        <v>0</v>
      </c>
      <c r="B2" s="1" t="s">
        <v>1</v>
      </c>
      <c r="C2" t="s">
        <v>18</v>
      </c>
      <c r="D2" t="s">
        <v>25</v>
      </c>
      <c r="E2" s="1" t="s">
        <v>19</v>
      </c>
      <c r="F2" t="s">
        <v>20</v>
      </c>
      <c r="G2" t="s">
        <v>26</v>
      </c>
      <c r="H2" s="1" t="s">
        <v>21</v>
      </c>
      <c r="I2" t="s">
        <v>22</v>
      </c>
      <c r="J2" t="s">
        <v>27</v>
      </c>
      <c r="K2" t="s">
        <v>23</v>
      </c>
      <c r="L2" t="s">
        <v>24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4" t="s">
        <v>33</v>
      </c>
      <c r="S2" s="2" t="s">
        <v>34</v>
      </c>
      <c r="T2" t="s">
        <v>35</v>
      </c>
    </row>
    <row r="3" spans="1:20" x14ac:dyDescent="0.25">
      <c r="A3" t="s">
        <v>2</v>
      </c>
      <c r="B3" s="1">
        <v>30</v>
      </c>
      <c r="C3">
        <v>99</v>
      </c>
      <c r="D3">
        <v>6</v>
      </c>
      <c r="E3" s="1">
        <f>(3.14*((D3/2)^2)*C3)/1000</f>
        <v>2.7977400000000001</v>
      </c>
      <c r="F3">
        <v>445</v>
      </c>
      <c r="G3">
        <v>4</v>
      </c>
      <c r="H3" s="1">
        <f>(3.14*((G3/2)^2)*F3)/1000</f>
        <v>5.5891999999999999</v>
      </c>
      <c r="I3">
        <v>237</v>
      </c>
      <c r="J3">
        <v>4</v>
      </c>
      <c r="K3" s="1">
        <f>(3.14*((J3/2)^2)*I3)/1000</f>
        <v>2.9767200000000003</v>
      </c>
      <c r="L3">
        <v>84</v>
      </c>
      <c r="M3">
        <v>6</v>
      </c>
      <c r="N3" s="1">
        <f>(3.14*((M3/2)^2)*L3)/1000</f>
        <v>2.37384</v>
      </c>
      <c r="O3">
        <v>152</v>
      </c>
      <c r="P3">
        <v>4</v>
      </c>
      <c r="Q3" s="1">
        <f>(3.14*((P3/2)^2)*O3)/1000</f>
        <v>1.9091200000000002</v>
      </c>
      <c r="R3" s="5">
        <f>B3+E3+H3+K3+N3+Q3</f>
        <v>45.646619999999999</v>
      </c>
      <c r="S3" s="2">
        <v>1.3</v>
      </c>
      <c r="T3" s="2">
        <v>13.2</v>
      </c>
    </row>
    <row r="4" spans="1:20" x14ac:dyDescent="0.25">
      <c r="A4" t="s">
        <v>3</v>
      </c>
      <c r="B4" s="1">
        <v>30</v>
      </c>
      <c r="C4">
        <v>90</v>
      </c>
      <c r="D4">
        <v>6</v>
      </c>
      <c r="E4" s="1">
        <f t="shared" ref="E4:E10" si="0">(3.14*((D4/2)^2)*C4)/1000</f>
        <v>2.5434000000000001</v>
      </c>
      <c r="F4">
        <v>464</v>
      </c>
      <c r="G4">
        <v>4</v>
      </c>
      <c r="H4" s="1">
        <f>(3.14*((G4/2)^2)*F4)/1000</f>
        <v>5.8278400000000001</v>
      </c>
      <c r="I4">
        <v>312</v>
      </c>
      <c r="J4">
        <v>4</v>
      </c>
      <c r="K4" s="1">
        <f t="shared" ref="K4:K10" si="1">(3.14*((J4/2)^2)*I4)/1000</f>
        <v>3.9187200000000004</v>
      </c>
      <c r="L4">
        <v>59</v>
      </c>
      <c r="M4">
        <v>6</v>
      </c>
      <c r="N4" s="1">
        <f t="shared" ref="N4:N10" si="2">(3.14*((M4/2)^2)*L4)/1000</f>
        <v>1.66734</v>
      </c>
      <c r="O4">
        <v>141</v>
      </c>
      <c r="P4">
        <v>4</v>
      </c>
      <c r="Q4" s="1">
        <f t="shared" ref="Q4:Q10" si="3">(3.14*((P4/2)^2)*O4)/1000</f>
        <v>1.7709600000000001</v>
      </c>
      <c r="R4" s="5">
        <f t="shared" ref="R4:R10" si="4">B4+E4+H4+K4+N4+Q4</f>
        <v>45.728260000000006</v>
      </c>
      <c r="S4" s="2">
        <v>1.075</v>
      </c>
      <c r="T4" s="2">
        <v>11.2</v>
      </c>
    </row>
    <row r="5" spans="1:20" x14ac:dyDescent="0.25">
      <c r="A5" t="s">
        <v>4</v>
      </c>
      <c r="B5" s="1">
        <v>30</v>
      </c>
      <c r="C5">
        <v>97</v>
      </c>
      <c r="D5">
        <v>6</v>
      </c>
      <c r="E5" s="1">
        <f t="shared" si="0"/>
        <v>2.7412200000000002</v>
      </c>
      <c r="F5">
        <v>494</v>
      </c>
      <c r="G5">
        <v>4</v>
      </c>
      <c r="H5" s="1">
        <f t="shared" ref="H5:H10" si="5">(3.14*((G5/2)^2)*F5)/1000</f>
        <v>6.2046400000000004</v>
      </c>
      <c r="I5">
        <v>278</v>
      </c>
      <c r="J5">
        <v>4</v>
      </c>
      <c r="K5" s="1">
        <f t="shared" si="1"/>
        <v>3.4916800000000001</v>
      </c>
      <c r="L5">
        <v>54.5</v>
      </c>
      <c r="M5">
        <v>6</v>
      </c>
      <c r="N5" s="1">
        <f t="shared" si="2"/>
        <v>1.54017</v>
      </c>
      <c r="O5">
        <v>122</v>
      </c>
      <c r="P5">
        <v>4</v>
      </c>
      <c r="Q5" s="1">
        <f t="shared" si="3"/>
        <v>1.5323200000000001</v>
      </c>
      <c r="R5" s="5">
        <f t="shared" si="4"/>
        <v>45.51003</v>
      </c>
      <c r="S5" s="2">
        <v>1.175</v>
      </c>
      <c r="T5" s="2">
        <v>9</v>
      </c>
    </row>
    <row r="6" spans="1:20" ht="15.75" thickBot="1" x14ac:dyDescent="0.3">
      <c r="A6" s="7" t="s">
        <v>5</v>
      </c>
      <c r="B6" s="8">
        <v>33</v>
      </c>
      <c r="C6" s="7">
        <v>95</v>
      </c>
      <c r="D6" s="7">
        <v>6</v>
      </c>
      <c r="E6" s="8">
        <f t="shared" si="0"/>
        <v>2.6847000000000003</v>
      </c>
      <c r="F6" s="7">
        <v>380</v>
      </c>
      <c r="G6" s="7">
        <v>4</v>
      </c>
      <c r="H6" s="8">
        <f t="shared" si="5"/>
        <v>4.7728000000000002</v>
      </c>
      <c r="I6" s="7">
        <v>220</v>
      </c>
      <c r="J6" s="7">
        <v>4</v>
      </c>
      <c r="K6" s="8">
        <f t="shared" si="1"/>
        <v>2.7632000000000003</v>
      </c>
      <c r="L6" s="7">
        <v>82</v>
      </c>
      <c r="M6" s="7">
        <v>6</v>
      </c>
      <c r="N6" s="8">
        <f t="shared" si="2"/>
        <v>2.31732</v>
      </c>
      <c r="O6" s="7">
        <v>189</v>
      </c>
      <c r="P6" s="7">
        <v>4</v>
      </c>
      <c r="Q6" s="8">
        <f t="shared" si="3"/>
        <v>2.37384</v>
      </c>
      <c r="R6" s="9">
        <f t="shared" si="4"/>
        <v>47.911859999999997</v>
      </c>
      <c r="S6" s="10">
        <v>1.325</v>
      </c>
      <c r="T6" s="10">
        <v>9.6</v>
      </c>
    </row>
    <row r="7" spans="1:20" x14ac:dyDescent="0.25">
      <c r="A7" t="s">
        <v>6</v>
      </c>
      <c r="B7" s="1">
        <v>30</v>
      </c>
      <c r="C7">
        <v>91</v>
      </c>
      <c r="D7">
        <v>6</v>
      </c>
      <c r="E7" s="1">
        <f t="shared" si="0"/>
        <v>2.5716600000000005</v>
      </c>
      <c r="F7">
        <v>471</v>
      </c>
      <c r="G7">
        <v>4</v>
      </c>
      <c r="H7" s="1">
        <f t="shared" si="5"/>
        <v>5.9157600000000006</v>
      </c>
      <c r="I7">
        <v>281</v>
      </c>
      <c r="J7">
        <v>4</v>
      </c>
      <c r="K7" s="1">
        <f t="shared" si="1"/>
        <v>3.5293600000000001</v>
      </c>
      <c r="L7">
        <v>96.5</v>
      </c>
      <c r="M7">
        <v>6</v>
      </c>
      <c r="N7" s="1">
        <f t="shared" si="2"/>
        <v>2.72709</v>
      </c>
      <c r="O7">
        <v>140</v>
      </c>
      <c r="P7">
        <v>4</v>
      </c>
      <c r="Q7" s="1">
        <f t="shared" si="3"/>
        <v>1.7584000000000002</v>
      </c>
      <c r="R7" s="5">
        <f t="shared" si="4"/>
        <v>46.502269999999996</v>
      </c>
      <c r="S7" s="2">
        <v>1.35</v>
      </c>
      <c r="T7" s="2">
        <v>12.6</v>
      </c>
    </row>
    <row r="8" spans="1:20" x14ac:dyDescent="0.25">
      <c r="A8" t="s">
        <v>7</v>
      </c>
      <c r="B8" s="1">
        <v>30</v>
      </c>
      <c r="C8">
        <v>95</v>
      </c>
      <c r="D8">
        <v>6</v>
      </c>
      <c r="E8" s="1">
        <f t="shared" si="0"/>
        <v>2.6847000000000003</v>
      </c>
      <c r="F8">
        <v>495</v>
      </c>
      <c r="G8">
        <v>4</v>
      </c>
      <c r="H8" s="1">
        <f t="shared" si="5"/>
        <v>6.2172000000000001</v>
      </c>
      <c r="I8">
        <v>235.5</v>
      </c>
      <c r="J8">
        <v>4</v>
      </c>
      <c r="K8" s="1">
        <f t="shared" si="1"/>
        <v>2.9578800000000003</v>
      </c>
      <c r="L8">
        <v>81</v>
      </c>
      <c r="M8">
        <v>6</v>
      </c>
      <c r="N8" s="1">
        <f t="shared" si="2"/>
        <v>2.2890600000000001</v>
      </c>
      <c r="O8">
        <v>141.5</v>
      </c>
      <c r="P8">
        <v>4</v>
      </c>
      <c r="Q8" s="1">
        <f t="shared" si="3"/>
        <v>1.7772399999999999</v>
      </c>
      <c r="R8" s="5">
        <f t="shared" si="4"/>
        <v>45.926079999999999</v>
      </c>
      <c r="S8" s="2">
        <v>0.85</v>
      </c>
      <c r="T8" s="2">
        <v>9.4</v>
      </c>
    </row>
    <row r="9" spans="1:20" x14ac:dyDescent="0.25">
      <c r="A9" t="s">
        <v>8</v>
      </c>
      <c r="B9" s="1">
        <v>34</v>
      </c>
      <c r="C9">
        <v>86</v>
      </c>
      <c r="D9">
        <v>6</v>
      </c>
      <c r="E9" s="1">
        <f t="shared" si="0"/>
        <v>2.4303600000000003</v>
      </c>
      <c r="F9">
        <v>491</v>
      </c>
      <c r="G9">
        <v>4</v>
      </c>
      <c r="H9" s="1">
        <f t="shared" si="5"/>
        <v>6.1669600000000004</v>
      </c>
      <c r="I9">
        <v>228</v>
      </c>
      <c r="J9">
        <v>4</v>
      </c>
      <c r="K9" s="1">
        <f t="shared" si="1"/>
        <v>2.8636800000000004</v>
      </c>
      <c r="L9">
        <v>91.5</v>
      </c>
      <c r="M9">
        <v>6</v>
      </c>
      <c r="N9" s="1">
        <f t="shared" si="2"/>
        <v>2.5857899999999998</v>
      </c>
      <c r="O9">
        <v>137</v>
      </c>
      <c r="P9">
        <v>4</v>
      </c>
      <c r="Q9" s="1">
        <f t="shared" si="3"/>
        <v>1.72072</v>
      </c>
      <c r="R9" s="5">
        <f t="shared" si="4"/>
        <v>49.767510000000009</v>
      </c>
      <c r="S9" s="2">
        <v>0.67500000000000004</v>
      </c>
      <c r="T9" s="2">
        <v>10.199999999999999</v>
      </c>
    </row>
    <row r="10" spans="1:20" x14ac:dyDescent="0.25">
      <c r="A10" t="s">
        <v>9</v>
      </c>
      <c r="B10" s="1">
        <v>32</v>
      </c>
      <c r="C10">
        <v>96</v>
      </c>
      <c r="D10">
        <v>6</v>
      </c>
      <c r="E10" s="1">
        <f t="shared" si="0"/>
        <v>2.7129599999999998</v>
      </c>
      <c r="F10">
        <v>523</v>
      </c>
      <c r="G10">
        <v>4</v>
      </c>
      <c r="H10" s="1">
        <f t="shared" si="5"/>
        <v>6.5688800000000001</v>
      </c>
      <c r="I10">
        <v>245</v>
      </c>
      <c r="J10">
        <v>4</v>
      </c>
      <c r="K10" s="1">
        <f t="shared" si="1"/>
        <v>3.0772000000000004</v>
      </c>
      <c r="L10">
        <v>98</v>
      </c>
      <c r="M10">
        <v>6</v>
      </c>
      <c r="N10" s="1">
        <f t="shared" si="2"/>
        <v>2.7694800000000002</v>
      </c>
      <c r="O10">
        <v>117</v>
      </c>
      <c r="P10">
        <v>4</v>
      </c>
      <c r="Q10" s="1">
        <f t="shared" si="3"/>
        <v>1.4695199999999999</v>
      </c>
      <c r="R10" s="5">
        <f t="shared" si="4"/>
        <v>48.598040000000005</v>
      </c>
      <c r="S10" s="2">
        <v>1</v>
      </c>
      <c r="T10" s="2">
        <v>11.2</v>
      </c>
    </row>
    <row r="11" spans="1:2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/>
      <c r="S11" s="13"/>
      <c r="T11" s="11"/>
    </row>
    <row r="12" spans="1:20" x14ac:dyDescent="0.25">
      <c r="A12" t="s">
        <v>10</v>
      </c>
      <c r="B12" s="1">
        <v>56</v>
      </c>
      <c r="C12">
        <v>99</v>
      </c>
      <c r="D12">
        <v>6</v>
      </c>
      <c r="E12" s="1">
        <f>(3.14*((D12/2)^2)*C12)/1000</f>
        <v>2.7977400000000001</v>
      </c>
      <c r="F12">
        <v>445</v>
      </c>
      <c r="G12">
        <v>4</v>
      </c>
      <c r="H12" s="1">
        <f>(3.14*((G12/2)^2)*F12)/1000</f>
        <v>5.5891999999999999</v>
      </c>
      <c r="I12">
        <v>237</v>
      </c>
      <c r="J12">
        <v>4</v>
      </c>
      <c r="K12" s="1">
        <f>(3.14*((J12/2)^2)*I12)/1000</f>
        <v>2.9767200000000003</v>
      </c>
      <c r="L12">
        <v>84</v>
      </c>
      <c r="M12">
        <v>6</v>
      </c>
      <c r="N12" s="1">
        <f>(3.14*((M12/2)^2)*L12)/1000</f>
        <v>2.37384</v>
      </c>
      <c r="O12">
        <v>152</v>
      </c>
      <c r="P12">
        <v>4</v>
      </c>
      <c r="Q12" s="1">
        <f>(3.14*((P12/2)^2)*O12)/1000</f>
        <v>1.9091200000000002</v>
      </c>
      <c r="R12" s="5">
        <f>B12+E12+H12+K12+N12+Q12</f>
        <v>71.646619999999999</v>
      </c>
      <c r="S12" s="2">
        <v>1.3</v>
      </c>
      <c r="T12" s="2">
        <v>13.2</v>
      </c>
    </row>
    <row r="13" spans="1:20" x14ac:dyDescent="0.25">
      <c r="A13" t="s">
        <v>11</v>
      </c>
      <c r="B13" s="1">
        <v>55</v>
      </c>
      <c r="C13">
        <v>90</v>
      </c>
      <c r="D13">
        <v>6</v>
      </c>
      <c r="E13" s="1">
        <f t="shared" ref="E13:E19" si="6">(3.14*((D13/2)^2)*C13)/1000</f>
        <v>2.5434000000000001</v>
      </c>
      <c r="F13">
        <v>464</v>
      </c>
      <c r="G13">
        <v>4</v>
      </c>
      <c r="H13" s="1">
        <f>(3.14*((G13/2)^2)*F13)/1000</f>
        <v>5.8278400000000001</v>
      </c>
      <c r="I13">
        <v>312</v>
      </c>
      <c r="J13">
        <v>4</v>
      </c>
      <c r="K13" s="1">
        <f t="shared" ref="K13:K19" si="7">(3.14*((J13/2)^2)*I13)/1000</f>
        <v>3.9187200000000004</v>
      </c>
      <c r="L13">
        <v>59</v>
      </c>
      <c r="M13">
        <v>6</v>
      </c>
      <c r="N13" s="1">
        <f t="shared" ref="N13:N19" si="8">(3.14*((M13/2)^2)*L13)/1000</f>
        <v>1.66734</v>
      </c>
      <c r="O13">
        <v>141</v>
      </c>
      <c r="P13">
        <v>4</v>
      </c>
      <c r="Q13" s="1">
        <f t="shared" ref="Q13:Q19" si="9">(3.14*((P13/2)^2)*O13)/1000</f>
        <v>1.7709600000000001</v>
      </c>
      <c r="R13" s="5">
        <f t="shared" ref="R13:R19" si="10">B13+E13+H13+K13+N13+Q13</f>
        <v>70.728260000000006</v>
      </c>
      <c r="S13" s="2">
        <v>1.075</v>
      </c>
      <c r="T13" s="2">
        <v>11.2</v>
      </c>
    </row>
    <row r="14" spans="1:20" x14ac:dyDescent="0.25">
      <c r="A14" t="s">
        <v>12</v>
      </c>
      <c r="B14" s="1">
        <v>55</v>
      </c>
      <c r="C14">
        <v>97</v>
      </c>
      <c r="D14">
        <v>6</v>
      </c>
      <c r="E14" s="1">
        <f t="shared" si="6"/>
        <v>2.7412200000000002</v>
      </c>
      <c r="F14">
        <v>494</v>
      </c>
      <c r="G14">
        <v>4</v>
      </c>
      <c r="H14" s="1">
        <f t="shared" ref="H14:H19" si="11">(3.14*((G14/2)^2)*F14)/1000</f>
        <v>6.2046400000000004</v>
      </c>
      <c r="I14">
        <v>278</v>
      </c>
      <c r="J14">
        <v>4</v>
      </c>
      <c r="K14" s="1">
        <f t="shared" si="7"/>
        <v>3.4916800000000001</v>
      </c>
      <c r="L14">
        <v>54.5</v>
      </c>
      <c r="M14">
        <v>6</v>
      </c>
      <c r="N14" s="1">
        <f t="shared" si="8"/>
        <v>1.54017</v>
      </c>
      <c r="O14">
        <v>122</v>
      </c>
      <c r="P14">
        <v>4</v>
      </c>
      <c r="Q14" s="1">
        <f t="shared" si="9"/>
        <v>1.5323200000000001</v>
      </c>
      <c r="R14" s="5">
        <f t="shared" si="10"/>
        <v>70.51003</v>
      </c>
      <c r="S14" s="2">
        <v>1.175</v>
      </c>
      <c r="T14" s="2">
        <v>9</v>
      </c>
    </row>
    <row r="15" spans="1:20" ht="15.75" thickBot="1" x14ac:dyDescent="0.3">
      <c r="A15" s="7" t="s">
        <v>13</v>
      </c>
      <c r="B15" s="8">
        <v>54</v>
      </c>
      <c r="C15" s="7">
        <v>95</v>
      </c>
      <c r="D15" s="7">
        <v>6</v>
      </c>
      <c r="E15" s="8">
        <f t="shared" si="6"/>
        <v>2.6847000000000003</v>
      </c>
      <c r="F15" s="7">
        <v>380</v>
      </c>
      <c r="G15" s="7">
        <v>4</v>
      </c>
      <c r="H15" s="8">
        <f t="shared" si="11"/>
        <v>4.7728000000000002</v>
      </c>
      <c r="I15" s="7">
        <v>220</v>
      </c>
      <c r="J15" s="7">
        <v>4</v>
      </c>
      <c r="K15" s="8">
        <f t="shared" si="7"/>
        <v>2.7632000000000003</v>
      </c>
      <c r="L15" s="7">
        <v>82</v>
      </c>
      <c r="M15" s="7">
        <v>6</v>
      </c>
      <c r="N15" s="8">
        <f t="shared" si="8"/>
        <v>2.31732</v>
      </c>
      <c r="O15" s="7">
        <v>189</v>
      </c>
      <c r="P15" s="7">
        <v>4</v>
      </c>
      <c r="Q15" s="8">
        <f t="shared" si="9"/>
        <v>2.37384</v>
      </c>
      <c r="R15" s="9">
        <f t="shared" si="10"/>
        <v>68.91185999999999</v>
      </c>
      <c r="S15" s="10">
        <v>1.325</v>
      </c>
      <c r="T15" s="10">
        <v>9.6</v>
      </c>
    </row>
    <row r="16" spans="1:20" x14ac:dyDescent="0.25">
      <c r="A16" t="s">
        <v>14</v>
      </c>
      <c r="B16" s="1">
        <v>54</v>
      </c>
      <c r="C16">
        <v>91</v>
      </c>
      <c r="D16">
        <v>6</v>
      </c>
      <c r="E16" s="1">
        <f t="shared" si="6"/>
        <v>2.5716600000000005</v>
      </c>
      <c r="F16">
        <v>471</v>
      </c>
      <c r="G16">
        <v>4</v>
      </c>
      <c r="H16" s="1">
        <f t="shared" si="11"/>
        <v>5.9157600000000006</v>
      </c>
      <c r="I16">
        <v>281</v>
      </c>
      <c r="J16">
        <v>4</v>
      </c>
      <c r="K16" s="1">
        <f t="shared" si="7"/>
        <v>3.5293600000000001</v>
      </c>
      <c r="L16">
        <v>96.5</v>
      </c>
      <c r="M16">
        <v>6</v>
      </c>
      <c r="N16" s="1">
        <f t="shared" si="8"/>
        <v>2.72709</v>
      </c>
      <c r="O16">
        <v>140</v>
      </c>
      <c r="P16">
        <v>4</v>
      </c>
      <c r="Q16" s="1">
        <f t="shared" si="9"/>
        <v>1.7584000000000002</v>
      </c>
      <c r="R16" s="5">
        <f t="shared" si="10"/>
        <v>70.502269999999996</v>
      </c>
      <c r="S16" s="2">
        <v>1.35</v>
      </c>
      <c r="T16" s="2">
        <v>12.6</v>
      </c>
    </row>
    <row r="17" spans="1:20" x14ac:dyDescent="0.25">
      <c r="A17" t="s">
        <v>15</v>
      </c>
      <c r="B17" s="1">
        <v>56</v>
      </c>
      <c r="C17">
        <v>95</v>
      </c>
      <c r="D17">
        <v>6</v>
      </c>
      <c r="E17" s="1">
        <f t="shared" si="6"/>
        <v>2.6847000000000003</v>
      </c>
      <c r="F17">
        <v>495</v>
      </c>
      <c r="G17">
        <v>4</v>
      </c>
      <c r="H17" s="1">
        <f t="shared" si="11"/>
        <v>6.2172000000000001</v>
      </c>
      <c r="I17">
        <v>235.5</v>
      </c>
      <c r="J17">
        <v>4</v>
      </c>
      <c r="K17" s="1">
        <f t="shared" si="7"/>
        <v>2.9578800000000003</v>
      </c>
      <c r="L17">
        <v>81</v>
      </c>
      <c r="M17">
        <v>6</v>
      </c>
      <c r="N17" s="1">
        <f t="shared" si="8"/>
        <v>2.2890600000000001</v>
      </c>
      <c r="O17">
        <v>141.5</v>
      </c>
      <c r="P17">
        <v>4</v>
      </c>
      <c r="Q17" s="1">
        <f t="shared" si="9"/>
        <v>1.7772399999999999</v>
      </c>
      <c r="R17" s="5">
        <f t="shared" si="10"/>
        <v>71.926080000000013</v>
      </c>
      <c r="S17" s="2">
        <v>0.85</v>
      </c>
      <c r="T17" s="2">
        <v>9.4</v>
      </c>
    </row>
    <row r="18" spans="1:20" x14ac:dyDescent="0.25">
      <c r="A18" t="s">
        <v>16</v>
      </c>
      <c r="B18" s="1">
        <v>56</v>
      </c>
      <c r="C18">
        <v>86</v>
      </c>
      <c r="D18">
        <v>6</v>
      </c>
      <c r="E18" s="1">
        <f t="shared" si="6"/>
        <v>2.4303600000000003</v>
      </c>
      <c r="F18">
        <v>491</v>
      </c>
      <c r="G18">
        <v>4</v>
      </c>
      <c r="H18" s="1">
        <f t="shared" si="11"/>
        <v>6.1669600000000004</v>
      </c>
      <c r="I18">
        <v>228</v>
      </c>
      <c r="J18">
        <v>4</v>
      </c>
      <c r="K18" s="1">
        <f t="shared" si="7"/>
        <v>2.8636800000000004</v>
      </c>
      <c r="L18">
        <v>91.5</v>
      </c>
      <c r="M18">
        <v>6</v>
      </c>
      <c r="N18" s="1">
        <f t="shared" si="8"/>
        <v>2.5857899999999998</v>
      </c>
      <c r="O18">
        <v>137</v>
      </c>
      <c r="P18">
        <v>4</v>
      </c>
      <c r="Q18" s="3">
        <f t="shared" si="9"/>
        <v>1.72072</v>
      </c>
      <c r="R18" s="5">
        <f t="shared" si="10"/>
        <v>71.767510000000001</v>
      </c>
      <c r="S18" s="2">
        <v>0.67500000000000004</v>
      </c>
      <c r="T18" s="2">
        <v>10.199999999999999</v>
      </c>
    </row>
    <row r="19" spans="1:20" ht="15.75" thickBot="1" x14ac:dyDescent="0.3">
      <c r="A19" t="s">
        <v>17</v>
      </c>
      <c r="B19" s="1">
        <v>55</v>
      </c>
      <c r="C19">
        <v>96</v>
      </c>
      <c r="D19">
        <v>6</v>
      </c>
      <c r="E19" s="1">
        <f t="shared" si="6"/>
        <v>2.7129599999999998</v>
      </c>
      <c r="F19">
        <v>523</v>
      </c>
      <c r="G19">
        <v>4</v>
      </c>
      <c r="H19" s="1">
        <f t="shared" si="11"/>
        <v>6.5688800000000001</v>
      </c>
      <c r="I19">
        <v>245</v>
      </c>
      <c r="J19">
        <v>4</v>
      </c>
      <c r="K19" s="1">
        <f t="shared" si="7"/>
        <v>3.0772000000000004</v>
      </c>
      <c r="L19">
        <v>98</v>
      </c>
      <c r="M19">
        <v>6</v>
      </c>
      <c r="N19" s="1">
        <f t="shared" si="8"/>
        <v>2.7694800000000002</v>
      </c>
      <c r="O19">
        <v>117</v>
      </c>
      <c r="P19">
        <v>4</v>
      </c>
      <c r="Q19" s="1">
        <f t="shared" si="9"/>
        <v>1.4695199999999999</v>
      </c>
      <c r="R19" s="6">
        <f t="shared" si="10"/>
        <v>71.598040000000012</v>
      </c>
      <c r="S19" s="2">
        <v>1</v>
      </c>
      <c r="T19" s="2">
        <v>11.2</v>
      </c>
    </row>
  </sheetData>
  <printOptions gridLines="1"/>
  <pageMargins left="0.7" right="0.7" top="0.75" bottom="0.75" header="0.3" footer="0.3"/>
  <pageSetup paperSize="9"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Schmidt</dc:creator>
  <cp:lastModifiedBy>Elliott Schmidt</cp:lastModifiedBy>
  <cp:lastPrinted>2024-02-29T05:57:08Z</cp:lastPrinted>
  <dcterms:created xsi:type="dcterms:W3CDTF">2023-07-19T04:11:55Z</dcterms:created>
  <dcterms:modified xsi:type="dcterms:W3CDTF">2024-02-29T06:05:51Z</dcterms:modified>
</cp:coreProperties>
</file>