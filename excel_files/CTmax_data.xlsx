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527762\OneDrive - James Cook University\PhD dissertation\Data\Chapter4_Latitude\excel_files\"/>
    </mc:Choice>
  </mc:AlternateContent>
  <xr:revisionPtr revIDLastSave="0" documentId="13_ncr:1_{6AFD6612-7797-45E4-BC47-165C8B3FCBF8}" xr6:coauthVersionLast="47" xr6:coauthVersionMax="47" xr10:uidLastSave="{00000000-0000-0000-0000-000000000000}"/>
  <bookViews>
    <workbookView xWindow="-120" yWindow="-120" windowWidth="29040" windowHeight="17520" xr2:uid="{98F0CAD3-F537-4039-A01E-04230FA46F67}"/>
  </bookViews>
  <sheets>
    <sheet name="Sheet1" sheetId="1" r:id="rId1"/>
    <sheet name="Sheet4" sheetId="5" r:id="rId2"/>
    <sheet name="Sheet2" sheetId="2" r:id="rId3"/>
    <sheet name="Sheet2 (2)" sheetId="3" r:id="rId4"/>
    <sheet name="Sheet3" sheetId="4" r:id="rId5"/>
  </sheets>
  <calcPr calcId="191028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7" i="1" l="1"/>
  <c r="W42" i="1"/>
  <c r="H42" i="1"/>
  <c r="W565" i="1"/>
  <c r="H565" i="1"/>
  <c r="W429" i="1"/>
  <c r="H429" i="1"/>
  <c r="W543" i="1"/>
  <c r="H543" i="1"/>
  <c r="W395" i="1"/>
  <c r="H395" i="1"/>
  <c r="W41" i="1"/>
  <c r="H41" i="1"/>
  <c r="W574" i="1"/>
  <c r="H574" i="1"/>
  <c r="W575" i="1"/>
  <c r="H575" i="1"/>
  <c r="W200" i="1"/>
  <c r="H200" i="1"/>
  <c r="W199" i="1"/>
  <c r="H199" i="1"/>
  <c r="W201" i="1"/>
  <c r="H201" i="1"/>
  <c r="W202" i="1"/>
  <c r="H202" i="1"/>
  <c r="W162" i="1"/>
  <c r="H162" i="1"/>
  <c r="W167" i="1"/>
  <c r="H167" i="1"/>
  <c r="W238" i="1"/>
  <c r="H238" i="1"/>
  <c r="W239" i="1"/>
  <c r="H239" i="1"/>
  <c r="W490" i="1"/>
  <c r="H490" i="1"/>
  <c r="W491" i="1"/>
  <c r="H491" i="1"/>
  <c r="W285" i="1"/>
  <c r="H285" i="1"/>
  <c r="W262" i="1"/>
  <c r="H262" i="1"/>
  <c r="W261" i="1"/>
  <c r="H261" i="1"/>
  <c r="W260" i="1"/>
  <c r="H260" i="1"/>
  <c r="W143" i="1"/>
  <c r="H143" i="1"/>
  <c r="W207" i="1"/>
  <c r="H207" i="1"/>
  <c r="W486" i="1"/>
  <c r="H486" i="1"/>
  <c r="W480" i="1"/>
  <c r="H480" i="1"/>
  <c r="W468" i="1"/>
  <c r="H468" i="1"/>
  <c r="W485" i="1"/>
  <c r="H485" i="1"/>
  <c r="W263" i="1"/>
  <c r="H263" i="1"/>
  <c r="W307" i="1"/>
  <c r="H307" i="1"/>
  <c r="W524" i="1"/>
  <c r="H524" i="1"/>
  <c r="W523" i="1"/>
  <c r="H523" i="1"/>
  <c r="W43" i="1"/>
  <c r="H43" i="1"/>
  <c r="W101" i="1"/>
  <c r="H101" i="1"/>
  <c r="W4" i="1"/>
  <c r="H4" i="1"/>
  <c r="W38" i="1"/>
  <c r="H38" i="1"/>
  <c r="W177" i="1"/>
  <c r="H177" i="1"/>
  <c r="W163" i="1"/>
  <c r="H163" i="1"/>
  <c r="W45" i="1"/>
  <c r="H45" i="1"/>
  <c r="W527" i="1"/>
  <c r="H527" i="1"/>
  <c r="W529" i="1"/>
  <c r="H529" i="1"/>
  <c r="W52" i="1"/>
  <c r="H52" i="1"/>
  <c r="W34" i="1"/>
  <c r="H34" i="1"/>
  <c r="W44" i="1"/>
  <c r="H44" i="1"/>
  <c r="W516" i="1"/>
  <c r="H516" i="1"/>
  <c r="W513" i="1"/>
  <c r="H513" i="1"/>
  <c r="W71" i="1"/>
  <c r="H71" i="1"/>
  <c r="W17" i="1"/>
  <c r="H17" i="1"/>
  <c r="W372" i="1"/>
  <c r="H372" i="1"/>
  <c r="W406" i="1"/>
  <c r="H406" i="1"/>
  <c r="W7" i="1"/>
  <c r="H7" i="1"/>
  <c r="W16" i="1"/>
  <c r="H16" i="1"/>
  <c r="W374" i="1"/>
  <c r="H374" i="1"/>
  <c r="W359" i="1"/>
  <c r="H359" i="1"/>
  <c r="W542" i="1"/>
  <c r="H542" i="1"/>
  <c r="W562" i="1"/>
  <c r="H562" i="1"/>
  <c r="W358" i="1"/>
  <c r="H358" i="1"/>
  <c r="W380" i="1"/>
  <c r="H380" i="1"/>
  <c r="W3" i="1"/>
  <c r="H3" i="1"/>
  <c r="W33" i="1"/>
  <c r="H33" i="1"/>
  <c r="W451" i="1"/>
  <c r="H451" i="1"/>
  <c r="W408" i="1"/>
  <c r="H408" i="1"/>
  <c r="W405" i="1"/>
  <c r="H405" i="1"/>
  <c r="W407" i="1"/>
  <c r="H407" i="1"/>
  <c r="W85" i="1"/>
  <c r="H85" i="1"/>
  <c r="W89" i="1"/>
  <c r="H89" i="1"/>
  <c r="W430" i="1"/>
  <c r="H430" i="1"/>
  <c r="W146" i="1"/>
  <c r="H146" i="1"/>
  <c r="W149" i="1"/>
  <c r="H149" i="1"/>
  <c r="W411" i="1"/>
  <c r="H411" i="1"/>
  <c r="W409" i="1"/>
  <c r="H409" i="1"/>
  <c r="W540" i="1"/>
  <c r="H540" i="1"/>
  <c r="W546" i="1"/>
  <c r="H546" i="1"/>
  <c r="W363" i="1"/>
  <c r="H363" i="1"/>
  <c r="W391" i="1"/>
  <c r="H391" i="1"/>
  <c r="W29" i="1"/>
  <c r="H29" i="1"/>
  <c r="W421" i="1"/>
  <c r="H421" i="1"/>
  <c r="W420" i="1"/>
  <c r="H420" i="1"/>
  <c r="W191" i="1"/>
  <c r="H191" i="1"/>
  <c r="W198" i="1"/>
  <c r="H198" i="1"/>
  <c r="W582" i="1"/>
  <c r="H582" i="1"/>
  <c r="W590" i="1"/>
  <c r="H590" i="1"/>
  <c r="W314" i="1"/>
  <c r="W597" i="1"/>
  <c r="W88" i="1"/>
  <c r="W596" i="1"/>
  <c r="W279" i="1"/>
  <c r="W313" i="1"/>
  <c r="W84" i="1"/>
  <c r="W312" i="1"/>
  <c r="W319" i="1"/>
  <c r="W2" i="1"/>
  <c r="W237" i="1"/>
  <c r="W230" i="1"/>
  <c r="W90" i="1"/>
  <c r="W315" i="1"/>
  <c r="W91" i="1"/>
  <c r="H84" i="1"/>
  <c r="H88" i="1"/>
  <c r="H596" i="1"/>
  <c r="H597" i="1"/>
  <c r="H313" i="1"/>
  <c r="H314" i="1"/>
  <c r="H279" i="1"/>
  <c r="H312" i="1"/>
  <c r="H91" i="1"/>
  <c r="H237" i="1"/>
  <c r="W128" i="1"/>
  <c r="H128" i="1"/>
  <c r="H230" i="1"/>
  <c r="H90" i="1"/>
  <c r="H2" i="1"/>
  <c r="H315" i="1"/>
  <c r="H319" i="1"/>
  <c r="W342" i="1"/>
  <c r="W328" i="1"/>
  <c r="H328" i="1"/>
  <c r="H342" i="1"/>
  <c r="W341" i="1"/>
  <c r="W321" i="1"/>
  <c r="H321" i="1"/>
  <c r="H341" i="1"/>
  <c r="H612" i="1"/>
  <c r="H571" i="1"/>
  <c r="H271" i="1"/>
  <c r="H270" i="1"/>
  <c r="AA205" i="1"/>
  <c r="AA209" i="1"/>
  <c r="AA210" i="1"/>
  <c r="AA203" i="1"/>
  <c r="AA206" i="1"/>
  <c r="AA204" i="1"/>
  <c r="AA208" i="1"/>
  <c r="AA224" i="1"/>
  <c r="AA226" i="1"/>
  <c r="AA232" i="1"/>
  <c r="AA241" i="1"/>
  <c r="AA240" i="1"/>
  <c r="AA233" i="1"/>
  <c r="AA234" i="1"/>
  <c r="AA186" i="1"/>
  <c r="AA187" i="1"/>
  <c r="AA188" i="1"/>
  <c r="AA189" i="1"/>
  <c r="AA190" i="1"/>
  <c r="AA227" i="1"/>
  <c r="AA228" i="1"/>
  <c r="AA236" i="1"/>
  <c r="AA235" i="1"/>
  <c r="AA229" i="1"/>
  <c r="AA242" i="1"/>
  <c r="AA245" i="1"/>
  <c r="AA244" i="1"/>
  <c r="AA243" i="1"/>
  <c r="AA246" i="1"/>
  <c r="AA308" i="1"/>
  <c r="AA303" i="1"/>
  <c r="AA305" i="1"/>
  <c r="AA304" i="1"/>
  <c r="AA309" i="1"/>
  <c r="AA355" i="1"/>
  <c r="AA320" i="1"/>
  <c r="AA306" i="1"/>
  <c r="AA311" i="1"/>
  <c r="AA310" i="1"/>
  <c r="AA336" i="1"/>
  <c r="AA338" i="1"/>
  <c r="AA339" i="1"/>
  <c r="AA337" i="1"/>
  <c r="AA59" i="1"/>
  <c r="AA58" i="1"/>
  <c r="AA81" i="1"/>
  <c r="AA80" i="1"/>
  <c r="AA82" i="1"/>
  <c r="AA83" i="1"/>
  <c r="AA118" i="1"/>
  <c r="AA124" i="1"/>
  <c r="AA125" i="1"/>
  <c r="AA126" i="1"/>
  <c r="AA120" i="1"/>
  <c r="AA121" i="1"/>
  <c r="AA119" i="1"/>
  <c r="AA127" i="1"/>
  <c r="AA129" i="1"/>
  <c r="AA300" i="1"/>
  <c r="AA348" i="1"/>
  <c r="AA352" i="1"/>
  <c r="AA350" i="1"/>
  <c r="AA354" i="1"/>
  <c r="AA345" i="1"/>
  <c r="AA301" i="1"/>
  <c r="AA344" i="1"/>
  <c r="AA302" i="1"/>
  <c r="AA347" i="1"/>
  <c r="AA346" i="1"/>
  <c r="AA349" i="1"/>
  <c r="AA335" i="1"/>
  <c r="AA351" i="1"/>
  <c r="AA353" i="1"/>
  <c r="AA268" i="1"/>
  <c r="AA280" i="1"/>
  <c r="AA283" i="1"/>
  <c r="AA282" i="1"/>
  <c r="AA281" i="1"/>
  <c r="AA284" i="1"/>
  <c r="AA343" i="1"/>
  <c r="AA299" i="1"/>
  <c r="AA298" i="1"/>
  <c r="AA331" i="1"/>
  <c r="AA330" i="1"/>
  <c r="AA333" i="1"/>
  <c r="AA332" i="1"/>
  <c r="AA334" i="1"/>
  <c r="AA144" i="1"/>
  <c r="AA145" i="1"/>
  <c r="AA156" i="1"/>
  <c r="AA168" i="1"/>
  <c r="AA185" i="1"/>
  <c r="AA225" i="1"/>
  <c r="AA231" i="1"/>
  <c r="Y272" i="1"/>
  <c r="Z272" i="1" s="1"/>
  <c r="Y275" i="1"/>
  <c r="Z275" i="1" s="1"/>
  <c r="Y293" i="1"/>
  <c r="AA293" i="1" s="1"/>
  <c r="Y292" i="1"/>
  <c r="AA292" i="1" s="1"/>
  <c r="Y318" i="1"/>
  <c r="AA318" i="1" s="1"/>
  <c r="Y317" i="1"/>
  <c r="AA317" i="1" s="1"/>
  <c r="Y327" i="1"/>
  <c r="AA327" i="1" s="1"/>
  <c r="Y322" i="1"/>
  <c r="AA322" i="1" s="1"/>
  <c r="Y323" i="1"/>
  <c r="AA323" i="1" s="1"/>
  <c r="Y325" i="1"/>
  <c r="AA325" i="1" s="1"/>
  <c r="Y324" i="1"/>
  <c r="AA324" i="1" s="1"/>
  <c r="Y326" i="1"/>
  <c r="AA326" i="1" s="1"/>
  <c r="Y329" i="1"/>
  <c r="AA329" i="1" s="1"/>
  <c r="Y340" i="1"/>
  <c r="Z340" i="1" s="1"/>
  <c r="Y251" i="1"/>
  <c r="Z251" i="1" s="1"/>
  <c r="Y250" i="1"/>
  <c r="Z250" i="1" s="1"/>
  <c r="Y252" i="1"/>
  <c r="Z252" i="1" s="1"/>
  <c r="Y253" i="1"/>
  <c r="Z253" i="1" s="1"/>
  <c r="Y254" i="1"/>
  <c r="Z254" i="1" s="1"/>
  <c r="Y264" i="1"/>
  <c r="Z264" i="1" s="1"/>
  <c r="Y265" i="1"/>
  <c r="Z265" i="1" s="1"/>
  <c r="Y266" i="1"/>
  <c r="Z266" i="1" s="1"/>
  <c r="Y267" i="1"/>
  <c r="Z267" i="1" s="1"/>
  <c r="Y278" i="1"/>
  <c r="AA278" i="1" s="1"/>
  <c r="Y289" i="1"/>
  <c r="AA289" i="1" s="1"/>
  <c r="Y288" i="1"/>
  <c r="AA288" i="1" s="1"/>
  <c r="Y286" i="1"/>
  <c r="AA286" i="1" s="1"/>
  <c r="Y287" i="1"/>
  <c r="AA287" i="1" s="1"/>
  <c r="Y294" i="1"/>
  <c r="Z294" i="1" s="1"/>
  <c r="Y157" i="1"/>
  <c r="Z157" i="1" s="1"/>
  <c r="Y158" i="1"/>
  <c r="AA158" i="1" s="1"/>
  <c r="Y159" i="1"/>
  <c r="Z159" i="1" s="1"/>
  <c r="Y160" i="1"/>
  <c r="Z160" i="1" s="1"/>
  <c r="Y161" i="1"/>
  <c r="AA161" i="1" s="1"/>
  <c r="Y164" i="1"/>
  <c r="AA164" i="1" s="1"/>
  <c r="Y166" i="1"/>
  <c r="AA166" i="1" s="1"/>
  <c r="Y165" i="1"/>
  <c r="AA165" i="1" s="1"/>
  <c r="Y169" i="1"/>
  <c r="Z169" i="1" s="1"/>
  <c r="Y170" i="1"/>
  <c r="Z170" i="1" s="1"/>
  <c r="Y211" i="1"/>
  <c r="AA211" i="1" s="1"/>
  <c r="Y213" i="1"/>
  <c r="AA213" i="1" s="1"/>
  <c r="Y214" i="1"/>
  <c r="AA214" i="1" s="1"/>
  <c r="Y212" i="1"/>
  <c r="AA212" i="1" s="1"/>
  <c r="Y221" i="1"/>
  <c r="AA221" i="1" s="1"/>
  <c r="Y137" i="1"/>
  <c r="Y133" i="1"/>
  <c r="Y132" i="1"/>
  <c r="Y130" i="1"/>
  <c r="Y134" i="1"/>
  <c r="Y131" i="1"/>
  <c r="Y135" i="1"/>
  <c r="Y67" i="1"/>
  <c r="AA67" i="1" s="1"/>
  <c r="Y136" i="1"/>
  <c r="Y138" i="1"/>
  <c r="Y139" i="1"/>
  <c r="Y112" i="1"/>
  <c r="AA112" i="1" s="1"/>
  <c r="Y111" i="1"/>
  <c r="AA111" i="1" s="1"/>
  <c r="Y110" i="1"/>
  <c r="AA110" i="1" s="1"/>
  <c r="Y109" i="1"/>
  <c r="AA109" i="1" s="1"/>
  <c r="Y552" i="1"/>
  <c r="AA552" i="1" s="1"/>
  <c r="Y551" i="1"/>
  <c r="AA551" i="1" s="1"/>
  <c r="Y550" i="1"/>
  <c r="AA550" i="1" s="1"/>
  <c r="Y572" i="1"/>
  <c r="AA572" i="1" s="1"/>
  <c r="Y573" i="1"/>
  <c r="AA573" i="1" s="1"/>
  <c r="Y586" i="1"/>
  <c r="AA586" i="1" s="1"/>
  <c r="Y587" i="1"/>
  <c r="AA587" i="1" s="1"/>
  <c r="Y588" i="1"/>
  <c r="Z588" i="1" s="1"/>
  <c r="Y598" i="1"/>
  <c r="Z598" i="1" s="1"/>
  <c r="Y599" i="1"/>
  <c r="Z599" i="1" s="1"/>
  <c r="Y600" i="1"/>
  <c r="Z600" i="1" s="1"/>
  <c r="Y604" i="1"/>
  <c r="Z604" i="1" s="1"/>
  <c r="Y610" i="1"/>
  <c r="Z610" i="1" s="1"/>
  <c r="Y611" i="1"/>
  <c r="Z611" i="1" s="1"/>
  <c r="Y472" i="1"/>
  <c r="AA472" i="1" s="1"/>
  <c r="Y469" i="1"/>
  <c r="AA469" i="1" s="1"/>
  <c r="Y470" i="1"/>
  <c r="AA470" i="1" s="1"/>
  <c r="Y471" i="1"/>
  <c r="AA471" i="1" s="1"/>
  <c r="Y498" i="1"/>
  <c r="Y499" i="1"/>
  <c r="Y500" i="1"/>
  <c r="AA500" i="1" s="1"/>
  <c r="Y503" i="1"/>
  <c r="AA503" i="1" s="1"/>
  <c r="Y502" i="1"/>
  <c r="AA502" i="1" s="1"/>
  <c r="Y501" i="1"/>
  <c r="AA501" i="1" s="1"/>
  <c r="Y488" i="1"/>
  <c r="AA488" i="1" s="1"/>
  <c r="Y489" i="1"/>
  <c r="AA489" i="1" s="1"/>
  <c r="Y494" i="1"/>
  <c r="Z494" i="1" s="1"/>
  <c r="Y492" i="1"/>
  <c r="Z492" i="1" s="1"/>
  <c r="Y493" i="1"/>
  <c r="Z493" i="1" s="1"/>
  <c r="Y256" i="1"/>
  <c r="Z256" i="1" s="1"/>
  <c r="Y255" i="1"/>
  <c r="Z255" i="1" s="1"/>
  <c r="Y259" i="1"/>
  <c r="Z259" i="1" s="1"/>
  <c r="Y258" i="1"/>
  <c r="Z258" i="1" s="1"/>
  <c r="Y257" i="1"/>
  <c r="Z257" i="1" s="1"/>
  <c r="Y269" i="1"/>
  <c r="Z269" i="1" s="1"/>
  <c r="Y274" i="1"/>
  <c r="Z274" i="1" s="1"/>
  <c r="Y276" i="1"/>
  <c r="Z276" i="1" s="1"/>
  <c r="Y277" i="1"/>
  <c r="Z277" i="1" s="1"/>
  <c r="Y290" i="1"/>
  <c r="Z290" i="1" s="1"/>
  <c r="Y295" i="1"/>
  <c r="Z295" i="1" s="1"/>
  <c r="Y291" i="1"/>
  <c r="Z291" i="1" s="1"/>
  <c r="Y296" i="1"/>
  <c r="Z296" i="1" s="1"/>
  <c r="Y297" i="1"/>
  <c r="Z297" i="1" s="1"/>
  <c r="Y316" i="1"/>
  <c r="Z316" i="1" s="1"/>
  <c r="Y475" i="1"/>
  <c r="Z475" i="1" s="1"/>
  <c r="Y474" i="1"/>
  <c r="Z474" i="1" s="1"/>
  <c r="Y476" i="1"/>
  <c r="Z476" i="1" s="1"/>
  <c r="Y473" i="1"/>
  <c r="Z473" i="1" s="1"/>
  <c r="Y477" i="1"/>
  <c r="Z477" i="1" s="1"/>
  <c r="Y478" i="1"/>
  <c r="Z478" i="1" s="1"/>
  <c r="Y479" i="1"/>
  <c r="Z479" i="1" s="1"/>
  <c r="Y483" i="1"/>
  <c r="Z483" i="1" s="1"/>
  <c r="Y482" i="1"/>
  <c r="Z482" i="1" s="1"/>
  <c r="Y481" i="1"/>
  <c r="Z481" i="1" s="1"/>
  <c r="Y484" i="1"/>
  <c r="Z484" i="1" s="1"/>
  <c r="Y487" i="1"/>
  <c r="Z487" i="1" s="1"/>
  <c r="Y495" i="1"/>
  <c r="Z495" i="1" s="1"/>
  <c r="Y497" i="1"/>
  <c r="Z497" i="1" s="1"/>
  <c r="Y496" i="1"/>
  <c r="Z496" i="1" s="1"/>
  <c r="Y553" i="1"/>
  <c r="Z553" i="1" s="1"/>
  <c r="Y554" i="1"/>
  <c r="Z554" i="1" s="1"/>
  <c r="Y555" i="1"/>
  <c r="Z555" i="1" s="1"/>
  <c r="Y556" i="1"/>
  <c r="Z556" i="1" s="1"/>
  <c r="Y566" i="1"/>
  <c r="Z566" i="1" s="1"/>
  <c r="Y567" i="1"/>
  <c r="Z567" i="1" s="1"/>
  <c r="Y568" i="1"/>
  <c r="Z568" i="1" s="1"/>
  <c r="Y578" i="1"/>
  <c r="Z578" i="1" s="1"/>
  <c r="Y579" i="1"/>
  <c r="Z579" i="1" s="1"/>
  <c r="Y581" i="1"/>
  <c r="Z581" i="1" s="1"/>
  <c r="Y594" i="1"/>
  <c r="Z594" i="1" s="1"/>
  <c r="Y591" i="1"/>
  <c r="Z591" i="1" s="1"/>
  <c r="Y593" i="1"/>
  <c r="Z593" i="1" s="1"/>
  <c r="Y592" i="1"/>
  <c r="Z592" i="1" s="1"/>
  <c r="Y607" i="1"/>
  <c r="Z607" i="1" s="1"/>
  <c r="Y175" i="1"/>
  <c r="Z175" i="1" s="1"/>
  <c r="Y176" i="1"/>
  <c r="Z176" i="1" s="1"/>
  <c r="Y192" i="1"/>
  <c r="Z192" i="1" s="1"/>
  <c r="Y197" i="1"/>
  <c r="Z197" i="1" s="1"/>
  <c r="Y218" i="1"/>
  <c r="Z218" i="1" s="1"/>
  <c r="Y217" i="1"/>
  <c r="Z217" i="1" s="1"/>
  <c r="Y222" i="1"/>
  <c r="AA222" i="1" s="1"/>
  <c r="Y223" i="1"/>
  <c r="Z223" i="1" s="1"/>
  <c r="Y509" i="1"/>
  <c r="Z509" i="1" s="1"/>
  <c r="Y508" i="1"/>
  <c r="Z508" i="1" s="1"/>
  <c r="Y507" i="1"/>
  <c r="Z507" i="1" s="1"/>
  <c r="Y510" i="1"/>
  <c r="Z510" i="1" s="1"/>
  <c r="Y515" i="1"/>
  <c r="AA515" i="1" s="1"/>
  <c r="Y514" i="1"/>
  <c r="Z514" i="1" s="1"/>
  <c r="Y518" i="1"/>
  <c r="Z518" i="1" s="1"/>
  <c r="Y517" i="1"/>
  <c r="Z517" i="1" s="1"/>
  <c r="Y519" i="1"/>
  <c r="Z519" i="1" s="1"/>
  <c r="Y526" i="1"/>
  <c r="Z526" i="1" s="1"/>
  <c r="Y525" i="1"/>
  <c r="Z525" i="1" s="1"/>
  <c r="Y528" i="1"/>
  <c r="Z528" i="1" s="1"/>
  <c r="Y536" i="1"/>
  <c r="Z536" i="1" s="1"/>
  <c r="Y538" i="1"/>
  <c r="Z538" i="1" s="1"/>
  <c r="Y539" i="1"/>
  <c r="Z539" i="1" s="1"/>
  <c r="Y12" i="1"/>
  <c r="Z12" i="1" s="1"/>
  <c r="Y13" i="1"/>
  <c r="Z13" i="1" s="1"/>
  <c r="Y14" i="1"/>
  <c r="Z14" i="1" s="1"/>
  <c r="Y15" i="1"/>
  <c r="Z15" i="1" s="1"/>
  <c r="Y30" i="1"/>
  <c r="Z30" i="1" s="1"/>
  <c r="Y70" i="1"/>
  <c r="Z70" i="1" s="1"/>
  <c r="Y69" i="1"/>
  <c r="Z69" i="1" s="1"/>
  <c r="Y78" i="1"/>
  <c r="Z78" i="1" s="1"/>
  <c r="Y77" i="1"/>
  <c r="Z77" i="1" s="1"/>
  <c r="Y104" i="1"/>
  <c r="AA104" i="1" s="1"/>
  <c r="Y360" i="1"/>
  <c r="Z360" i="1" s="1"/>
  <c r="Y370" i="1"/>
  <c r="Z370" i="1" s="1"/>
  <c r="Y375" i="1"/>
  <c r="AA375" i="1" s="1"/>
  <c r="Y382" i="1"/>
  <c r="AA382" i="1" s="1"/>
  <c r="Y381" i="1"/>
  <c r="AA381" i="1" s="1"/>
  <c r="Y378" i="1"/>
  <c r="Z378" i="1" s="1"/>
  <c r="Y390" i="1"/>
  <c r="Z390" i="1" s="1"/>
  <c r="Y389" i="1"/>
  <c r="Z389" i="1" s="1"/>
  <c r="Y396" i="1"/>
  <c r="Z396" i="1" s="1"/>
  <c r="Y403" i="1"/>
  <c r="Z403" i="1" s="1"/>
  <c r="Y402" i="1"/>
  <c r="Z402" i="1" s="1"/>
  <c r="Y434" i="1"/>
  <c r="Z434" i="1" s="1"/>
  <c r="Y436" i="1"/>
  <c r="Z436" i="1" s="1"/>
  <c r="Y435" i="1"/>
  <c r="Z435" i="1" s="1"/>
  <c r="Y446" i="1"/>
  <c r="Z446" i="1" s="1"/>
  <c r="Y8" i="1"/>
  <c r="Z8" i="1" s="1"/>
  <c r="Y11" i="1"/>
  <c r="Z11" i="1" s="1"/>
  <c r="Y27" i="1"/>
  <c r="Z27" i="1" s="1"/>
  <c r="Y28" i="1"/>
  <c r="Z28" i="1" s="1"/>
  <c r="Y21" i="1"/>
  <c r="Z21" i="1" s="1"/>
  <c r="Y57" i="1"/>
  <c r="Z57" i="1" s="1"/>
  <c r="Y68" i="1"/>
  <c r="Z68" i="1" s="1"/>
  <c r="Y92" i="1"/>
  <c r="AA92" i="1" s="1"/>
  <c r="Y94" i="1"/>
  <c r="AA94" i="1" s="1"/>
  <c r="Y93" i="1"/>
  <c r="AA93" i="1" s="1"/>
  <c r="Y99" i="1"/>
  <c r="AA99" i="1" s="1"/>
  <c r="Y100" i="1"/>
  <c r="AA100" i="1" s="1"/>
  <c r="Y95" i="1"/>
  <c r="Z95" i="1" s="1"/>
  <c r="Y108" i="1"/>
  <c r="Z108" i="1" s="1"/>
  <c r="Y113" i="1"/>
  <c r="Z113" i="1" s="1"/>
  <c r="Y147" i="1"/>
  <c r="Z147" i="1" s="1"/>
  <c r="Y155" i="1"/>
  <c r="Z155" i="1" s="1"/>
  <c r="Y154" i="1"/>
  <c r="Z154" i="1" s="1"/>
  <c r="Y153" i="1"/>
  <c r="Z153" i="1" s="1"/>
  <c r="Y174" i="1"/>
  <c r="Z174" i="1" s="1"/>
  <c r="Y173" i="1"/>
  <c r="Z173" i="1" s="1"/>
  <c r="Y171" i="1"/>
  <c r="Z171" i="1" s="1"/>
  <c r="Y172" i="1"/>
  <c r="Z172" i="1" s="1"/>
  <c r="Y193" i="1"/>
  <c r="Z193" i="1" s="1"/>
  <c r="Y215" i="1"/>
  <c r="Z215" i="1" s="1"/>
  <c r="Y216" i="1"/>
  <c r="Z216" i="1" s="1"/>
  <c r="Y219" i="1"/>
  <c r="Z219" i="1" s="1"/>
  <c r="Y220" i="1"/>
  <c r="Z220" i="1" s="1"/>
  <c r="Y6" i="1"/>
  <c r="Z6" i="1" s="1"/>
  <c r="Y9" i="1"/>
  <c r="Z9" i="1" s="1"/>
  <c r="Y10" i="1"/>
  <c r="Z10" i="1" s="1"/>
  <c r="Y25" i="1"/>
  <c r="Z25" i="1" s="1"/>
  <c r="Y26" i="1"/>
  <c r="Z26" i="1" s="1"/>
  <c r="Y24" i="1"/>
  <c r="Z24" i="1" s="1"/>
  <c r="Y40" i="1"/>
  <c r="Z40" i="1" s="1"/>
  <c r="Y56" i="1"/>
  <c r="Z56" i="1" s="1"/>
  <c r="Y73" i="1"/>
  <c r="Z73" i="1" s="1"/>
  <c r="Y74" i="1"/>
  <c r="Z74" i="1" s="1"/>
  <c r="Y72" i="1"/>
  <c r="Z72" i="1" s="1"/>
  <c r="Y117" i="1"/>
  <c r="Z117" i="1" s="1"/>
  <c r="Y122" i="1"/>
  <c r="Z122" i="1" s="1"/>
  <c r="Y32" i="1"/>
  <c r="Z32" i="1" s="1"/>
  <c r="Y31" i="1"/>
  <c r="Z31" i="1" s="1"/>
  <c r="Y61" i="1"/>
  <c r="Z61" i="1" s="1"/>
  <c r="Y60" i="1"/>
  <c r="Z60" i="1" s="1"/>
  <c r="Y64" i="1"/>
  <c r="Z64" i="1" s="1"/>
  <c r="Y367" i="1"/>
  <c r="Z367" i="1" s="1"/>
  <c r="Y366" i="1"/>
  <c r="Z366" i="1" s="1"/>
  <c r="Y373" i="1"/>
  <c r="AA373" i="1" s="1"/>
  <c r="Y383" i="1"/>
  <c r="AA383" i="1" s="1"/>
  <c r="Y385" i="1"/>
  <c r="AA385" i="1" s="1"/>
  <c r="Y384" i="1"/>
  <c r="AA384" i="1" s="1"/>
  <c r="Y397" i="1"/>
  <c r="AA397" i="1" s="1"/>
  <c r="Y398" i="1"/>
  <c r="AA398" i="1" s="1"/>
  <c r="Y404" i="1"/>
  <c r="AA404" i="1" s="1"/>
  <c r="Y414" i="1"/>
  <c r="AA414" i="1" s="1"/>
  <c r="Y415" i="1"/>
  <c r="AA415" i="1" s="1"/>
  <c r="Y416" i="1"/>
  <c r="AA416" i="1" s="1"/>
  <c r="Y417" i="1"/>
  <c r="AA417" i="1" s="1"/>
  <c r="Y422" i="1"/>
  <c r="AA422" i="1" s="1"/>
  <c r="Y428" i="1"/>
  <c r="AA428" i="1" s="1"/>
  <c r="Y361" i="1"/>
  <c r="Z361" i="1" s="1"/>
  <c r="Y362" i="1"/>
  <c r="Z362" i="1" s="1"/>
  <c r="Y371" i="1"/>
  <c r="AA371" i="1" s="1"/>
  <c r="Y364" i="1"/>
  <c r="Z364" i="1" s="1"/>
  <c r="Y365" i="1"/>
  <c r="Z365" i="1" s="1"/>
  <c r="Y386" i="1"/>
  <c r="AA386" i="1" s="1"/>
  <c r="Y387" i="1"/>
  <c r="AA387" i="1" s="1"/>
  <c r="Y440" i="1"/>
  <c r="AA440" i="1" s="1"/>
  <c r="Y433" i="1"/>
  <c r="AA433" i="1" s="1"/>
  <c r="Y452" i="1"/>
  <c r="AA452" i="1" s="1"/>
  <c r="Y453" i="1"/>
  <c r="AA453" i="1" s="1"/>
  <c r="Y456" i="1"/>
  <c r="AA456" i="1" s="1"/>
  <c r="Y455" i="1"/>
  <c r="AA455" i="1" s="1"/>
  <c r="Y461" i="1"/>
  <c r="Z461" i="1" s="1"/>
  <c r="Y462" i="1"/>
  <c r="Z462" i="1" s="1"/>
  <c r="Y541" i="1"/>
  <c r="Z541" i="1" s="1"/>
  <c r="Y545" i="1"/>
  <c r="AA545" i="1" s="1"/>
  <c r="Y547" i="1"/>
  <c r="Z547" i="1" s="1"/>
  <c r="Y549" i="1"/>
  <c r="Z549" i="1" s="1"/>
  <c r="Y548" i="1"/>
  <c r="Z548" i="1" s="1"/>
  <c r="Y560" i="1"/>
  <c r="AA560" i="1" s="1"/>
  <c r="Y561" i="1"/>
  <c r="AA561" i="1" s="1"/>
  <c r="Y580" i="1"/>
  <c r="AA580" i="1" s="1"/>
  <c r="Y589" i="1"/>
  <c r="AA589" i="1" s="1"/>
  <c r="Y595" i="1"/>
  <c r="AA595" i="1" s="1"/>
  <c r="Y602" i="1"/>
  <c r="AA602" i="1" s="1"/>
  <c r="Y603" i="1"/>
  <c r="AA603" i="1" s="1"/>
  <c r="Y601" i="1"/>
  <c r="AA601" i="1" s="1"/>
  <c r="Y606" i="1"/>
  <c r="AA606" i="1" s="1"/>
  <c r="Y605" i="1"/>
  <c r="AA605" i="1" s="1"/>
  <c r="Y142" i="1"/>
  <c r="Z142" i="1" s="1"/>
  <c r="Y150" i="1"/>
  <c r="Z150" i="1" s="1"/>
  <c r="Y152" i="1"/>
  <c r="Z152" i="1" s="1"/>
  <c r="Y151" i="1"/>
  <c r="Z151" i="1" s="1"/>
  <c r="Y148" i="1"/>
  <c r="AA148" i="1" s="1"/>
  <c r="Y184" i="1"/>
  <c r="AA184" i="1" s="1"/>
  <c r="Y183" i="1"/>
  <c r="AA183" i="1" s="1"/>
  <c r="Y180" i="1"/>
  <c r="AA180" i="1" s="1"/>
  <c r="Y182" i="1"/>
  <c r="AA182" i="1" s="1"/>
  <c r="Y179" i="1"/>
  <c r="AA179" i="1" s="1"/>
  <c r="Y181" i="1"/>
  <c r="AA181" i="1" s="1"/>
  <c r="Y178" i="1"/>
  <c r="AA178" i="1" s="1"/>
  <c r="Y195" i="1"/>
  <c r="Z195" i="1" s="1"/>
  <c r="Y194" i="1"/>
  <c r="Z194" i="1" s="1"/>
  <c r="Y196" i="1"/>
  <c r="Z196" i="1" s="1"/>
  <c r="Y504" i="1"/>
  <c r="Z504" i="1" s="1"/>
  <c r="Y505" i="1"/>
  <c r="Z505" i="1" s="1"/>
  <c r="Y506" i="1"/>
  <c r="Z506" i="1" s="1"/>
  <c r="Y512" i="1"/>
  <c r="AA512" i="1" s="1"/>
  <c r="Y511" i="1"/>
  <c r="AA511" i="1" s="1"/>
  <c r="Y520" i="1"/>
  <c r="Z520" i="1" s="1"/>
  <c r="Y522" i="1"/>
  <c r="Z522" i="1" s="1"/>
  <c r="Y521" i="1"/>
  <c r="Z521" i="1" s="1"/>
  <c r="Y530" i="1"/>
  <c r="Z530" i="1" s="1"/>
  <c r="Y535" i="1"/>
  <c r="Z535" i="1" s="1"/>
  <c r="Y534" i="1"/>
  <c r="Z534" i="1" s="1"/>
  <c r="Y532" i="1"/>
  <c r="Z532" i="1" s="1"/>
  <c r="Y533" i="1"/>
  <c r="Z533" i="1" s="1"/>
  <c r="Y531" i="1"/>
  <c r="Z531" i="1" s="1"/>
  <c r="Y537" i="1"/>
  <c r="Z537" i="1" s="1"/>
  <c r="Y5" i="1"/>
  <c r="AA5" i="1" s="1"/>
  <c r="Y20" i="1"/>
  <c r="AA20" i="1" s="1"/>
  <c r="Y19" i="1"/>
  <c r="AA19" i="1" s="1"/>
  <c r="Y18" i="1"/>
  <c r="AA18" i="1" s="1"/>
  <c r="Y37" i="1"/>
  <c r="AA37" i="1" s="1"/>
  <c r="Y53" i="1"/>
  <c r="Z53" i="1" s="1"/>
  <c r="Y54" i="1"/>
  <c r="Z54" i="1" s="1"/>
  <c r="Y55" i="1"/>
  <c r="Z55" i="1" s="1"/>
  <c r="Y79" i="1"/>
  <c r="Z79" i="1" s="1"/>
  <c r="Y96" i="1"/>
  <c r="Z96" i="1" s="1"/>
  <c r="Y544" i="1"/>
  <c r="AA544" i="1" s="1"/>
  <c r="Y563" i="1"/>
  <c r="Z563" i="1" s="1"/>
  <c r="Y564" i="1"/>
  <c r="Z564" i="1" s="1"/>
  <c r="Y558" i="1"/>
  <c r="AA558" i="1" s="1"/>
  <c r="Y557" i="1"/>
  <c r="AA557" i="1" s="1"/>
  <c r="Y559" i="1"/>
  <c r="AA559" i="1" s="1"/>
  <c r="Y569" i="1"/>
  <c r="AA569" i="1" s="1"/>
  <c r="Y570" i="1"/>
  <c r="AA570" i="1" s="1"/>
  <c r="Y577" i="1"/>
  <c r="AA577" i="1" s="1"/>
  <c r="Y576" i="1"/>
  <c r="AA576" i="1" s="1"/>
  <c r="Y585" i="1"/>
  <c r="AA585" i="1" s="1"/>
  <c r="Y583" i="1"/>
  <c r="AA583" i="1" s="1"/>
  <c r="Y584" i="1"/>
  <c r="AA584" i="1" s="1"/>
  <c r="Y608" i="1"/>
  <c r="AA608" i="1" s="1"/>
  <c r="Y609" i="1"/>
  <c r="Z609" i="1" s="1"/>
  <c r="Y368" i="1"/>
  <c r="Z368" i="1" s="1"/>
  <c r="Y369" i="1"/>
  <c r="Z369" i="1" s="1"/>
  <c r="Y377" i="1"/>
  <c r="Z377" i="1" s="1"/>
  <c r="Y376" i="1"/>
  <c r="Z376" i="1" s="1"/>
  <c r="Y379" i="1"/>
  <c r="Z379" i="1" s="1"/>
  <c r="Y388" i="1"/>
  <c r="AA388" i="1" s="1"/>
  <c r="Y410" i="1"/>
  <c r="AA410" i="1" s="1"/>
  <c r="Y419" i="1"/>
  <c r="AA419" i="1" s="1"/>
  <c r="Y418" i="1"/>
  <c r="AA418" i="1" s="1"/>
  <c r="Y427" i="1"/>
  <c r="AA427" i="1" s="1"/>
  <c r="Y426" i="1"/>
  <c r="AA426" i="1" s="1"/>
  <c r="Y425" i="1"/>
  <c r="AA425" i="1" s="1"/>
  <c r="Y441" i="1"/>
  <c r="AA441" i="1" s="1"/>
  <c r="Y457" i="1"/>
  <c r="Z457" i="1" s="1"/>
  <c r="Y463" i="1"/>
  <c r="AA463" i="1" s="1"/>
  <c r="Y35" i="1"/>
  <c r="AA35" i="1" s="1"/>
  <c r="Y62" i="1"/>
  <c r="AA62" i="1" s="1"/>
  <c r="Y75" i="1"/>
  <c r="AA75" i="1" s="1"/>
  <c r="Y86" i="1"/>
  <c r="AA86" i="1" s="1"/>
  <c r="Y87" i="1"/>
  <c r="AA87" i="1" s="1"/>
  <c r="Y98" i="1"/>
  <c r="Z98" i="1" s="1"/>
  <c r="Y97" i="1"/>
  <c r="Z97" i="1" s="1"/>
  <c r="Y102" i="1"/>
  <c r="AA102" i="1" s="1"/>
  <c r="Y103" i="1"/>
  <c r="AA103" i="1" s="1"/>
  <c r="Y107" i="1"/>
  <c r="AA107" i="1" s="1"/>
  <c r="Y106" i="1"/>
  <c r="AA106" i="1" s="1"/>
  <c r="Y116" i="1"/>
  <c r="AA116" i="1" s="1"/>
  <c r="Y114" i="1"/>
  <c r="AA114" i="1" s="1"/>
  <c r="Y115" i="1"/>
  <c r="AA115" i="1" s="1"/>
  <c r="Y123" i="1"/>
  <c r="AA123" i="1" s="1"/>
  <c r="Y22" i="1"/>
  <c r="Z22" i="1" s="1"/>
  <c r="Y23" i="1"/>
  <c r="Z23" i="1" s="1"/>
  <c r="Y36" i="1"/>
  <c r="Z36" i="1" s="1"/>
  <c r="Y39" i="1"/>
  <c r="Z39" i="1" s="1"/>
  <c r="Y46" i="1"/>
  <c r="AA46" i="1" s="1"/>
  <c r="Y47" i="1"/>
  <c r="AA47" i="1" s="1"/>
  <c r="Y51" i="1"/>
  <c r="AA51" i="1" s="1"/>
  <c r="Y50" i="1"/>
  <c r="AA50" i="1" s="1"/>
  <c r="Y48" i="1"/>
  <c r="AA48" i="1" s="1"/>
  <c r="Y49" i="1"/>
  <c r="AA49" i="1" s="1"/>
  <c r="Y65" i="1"/>
  <c r="AA65" i="1" s="1"/>
  <c r="Y66" i="1"/>
  <c r="AA66" i="1" s="1"/>
  <c r="Y63" i="1"/>
  <c r="AA63" i="1" s="1"/>
  <c r="Y76" i="1"/>
  <c r="AA76" i="1" s="1"/>
  <c r="Y105" i="1"/>
  <c r="Z105" i="1" s="1"/>
  <c r="Y412" i="1"/>
  <c r="Z412" i="1" s="1"/>
  <c r="Y413" i="1"/>
  <c r="Z413" i="1" s="1"/>
  <c r="Y444" i="1"/>
  <c r="Z444" i="1" s="1"/>
  <c r="Y445" i="1"/>
  <c r="Z445" i="1" s="1"/>
  <c r="Y442" i="1"/>
  <c r="Z442" i="1" s="1"/>
  <c r="Y443" i="1"/>
  <c r="Z443" i="1" s="1"/>
  <c r="Y450" i="1"/>
  <c r="Z450" i="1" s="1"/>
  <c r="Y449" i="1"/>
  <c r="Z449" i="1" s="1"/>
  <c r="Y448" i="1"/>
  <c r="Z448" i="1" s="1"/>
  <c r="Y454" i="1"/>
  <c r="Z454" i="1" s="1"/>
  <c r="Y460" i="1"/>
  <c r="Z460" i="1" s="1"/>
  <c r="Y458" i="1"/>
  <c r="Z458" i="1" s="1"/>
  <c r="Y459" i="1"/>
  <c r="Z459" i="1" s="1"/>
  <c r="Y464" i="1"/>
  <c r="Z464" i="1" s="1"/>
  <c r="Y465" i="1"/>
  <c r="Z465" i="1" s="1"/>
  <c r="Y392" i="1"/>
  <c r="Z392" i="1" s="1"/>
  <c r="Y394" i="1"/>
  <c r="Z394" i="1" s="1"/>
  <c r="Y393" i="1"/>
  <c r="Z393" i="1" s="1"/>
  <c r="Y400" i="1"/>
  <c r="Z400" i="1" s="1"/>
  <c r="Y399" i="1"/>
  <c r="Z399" i="1" s="1"/>
  <c r="Y424" i="1"/>
  <c r="AA424" i="1" s="1"/>
  <c r="Y401" i="1"/>
  <c r="AA401" i="1" s="1"/>
  <c r="Y423" i="1"/>
  <c r="Z423" i="1" s="1"/>
  <c r="Y432" i="1"/>
  <c r="Z432" i="1" s="1"/>
  <c r="Y431" i="1"/>
  <c r="Z431" i="1" s="1"/>
  <c r="Y439" i="1"/>
  <c r="Z439" i="1" s="1"/>
  <c r="Y438" i="1"/>
  <c r="AA438" i="1" s="1"/>
  <c r="Y437" i="1"/>
  <c r="Z437" i="1" s="1"/>
  <c r="Y447" i="1"/>
  <c r="AA447" i="1" s="1"/>
  <c r="Y466" i="1"/>
  <c r="Z466" i="1" s="1"/>
  <c r="Y273" i="1"/>
  <c r="Z273" i="1" s="1"/>
  <c r="V340" i="1"/>
  <c r="V251" i="1"/>
  <c r="V250" i="1"/>
  <c r="V252" i="1"/>
  <c r="V253" i="1"/>
  <c r="V254" i="1"/>
  <c r="V264" i="1"/>
  <c r="V265" i="1"/>
  <c r="V266" i="1"/>
  <c r="V267" i="1"/>
  <c r="V294" i="1"/>
  <c r="V157" i="1"/>
  <c r="V158" i="1"/>
  <c r="V159" i="1"/>
  <c r="V160" i="1"/>
  <c r="V161" i="1"/>
  <c r="V169" i="1"/>
  <c r="V170" i="1"/>
  <c r="V588" i="1"/>
  <c r="V598" i="1"/>
  <c r="V599" i="1"/>
  <c r="V600" i="1"/>
  <c r="V604" i="1"/>
  <c r="V610" i="1"/>
  <c r="V611" i="1"/>
  <c r="V494" i="1"/>
  <c r="V492" i="1"/>
  <c r="V493" i="1"/>
  <c r="V256" i="1"/>
  <c r="V255" i="1"/>
  <c r="V259" i="1"/>
  <c r="V258" i="1"/>
  <c r="V257" i="1"/>
  <c r="V269" i="1"/>
  <c r="V274" i="1"/>
  <c r="V276" i="1"/>
  <c r="V277" i="1"/>
  <c r="V290" i="1"/>
  <c r="V295" i="1"/>
  <c r="V291" i="1"/>
  <c r="V296" i="1"/>
  <c r="V297" i="1"/>
  <c r="V316" i="1"/>
  <c r="V475" i="1"/>
  <c r="V474" i="1"/>
  <c r="V476" i="1"/>
  <c r="V473" i="1"/>
  <c r="V477" i="1"/>
  <c r="V478" i="1"/>
  <c r="V479" i="1"/>
  <c r="V483" i="1"/>
  <c r="V482" i="1"/>
  <c r="V481" i="1"/>
  <c r="V484" i="1"/>
  <c r="V487" i="1"/>
  <c r="V495" i="1"/>
  <c r="V497" i="1"/>
  <c r="V496" i="1"/>
  <c r="V553" i="1"/>
  <c r="V554" i="1"/>
  <c r="V555" i="1"/>
  <c r="V556" i="1"/>
  <c r="V566" i="1"/>
  <c r="V567" i="1"/>
  <c r="V568" i="1"/>
  <c r="V578" i="1"/>
  <c r="V579" i="1"/>
  <c r="V581" i="1"/>
  <c r="V594" i="1"/>
  <c r="V591" i="1"/>
  <c r="V593" i="1"/>
  <c r="V592" i="1"/>
  <c r="V607" i="1"/>
  <c r="V175" i="1"/>
  <c r="V176" i="1"/>
  <c r="V192" i="1"/>
  <c r="V197" i="1"/>
  <c r="V218" i="1"/>
  <c r="V217" i="1"/>
  <c r="V222" i="1"/>
  <c r="V223" i="1"/>
  <c r="V509" i="1"/>
  <c r="V508" i="1"/>
  <c r="V507" i="1"/>
  <c r="V510" i="1"/>
  <c r="V514" i="1"/>
  <c r="V518" i="1"/>
  <c r="V517" i="1"/>
  <c r="V519" i="1"/>
  <c r="V526" i="1"/>
  <c r="V525" i="1"/>
  <c r="V528" i="1"/>
  <c r="V536" i="1"/>
  <c r="V538" i="1"/>
  <c r="V539" i="1"/>
  <c r="V12" i="1"/>
  <c r="V13" i="1"/>
  <c r="V14" i="1"/>
  <c r="V15" i="1"/>
  <c r="V30" i="1"/>
  <c r="V70" i="1"/>
  <c r="V69" i="1"/>
  <c r="V78" i="1"/>
  <c r="V77" i="1"/>
  <c r="V360" i="1"/>
  <c r="V370" i="1"/>
  <c r="V390" i="1"/>
  <c r="V389" i="1"/>
  <c r="V396" i="1"/>
  <c r="V403" i="1"/>
  <c r="V402" i="1"/>
  <c r="V434" i="1"/>
  <c r="V436" i="1"/>
  <c r="V435" i="1"/>
  <c r="V446" i="1"/>
  <c r="V8" i="1"/>
  <c r="V11" i="1"/>
  <c r="V27" i="1"/>
  <c r="V28" i="1"/>
  <c r="V21" i="1"/>
  <c r="V57" i="1"/>
  <c r="V68" i="1"/>
  <c r="V95" i="1"/>
  <c r="V108" i="1"/>
  <c r="V113" i="1"/>
  <c r="V147" i="1"/>
  <c r="V155" i="1"/>
  <c r="V154" i="1"/>
  <c r="V153" i="1"/>
  <c r="V174" i="1"/>
  <c r="V173" i="1"/>
  <c r="V171" i="1"/>
  <c r="V172" i="1"/>
  <c r="V193" i="1"/>
  <c r="V215" i="1"/>
  <c r="V216" i="1"/>
  <c r="V219" i="1"/>
  <c r="V220" i="1"/>
  <c r="V6" i="1"/>
  <c r="V9" i="1"/>
  <c r="V10" i="1"/>
  <c r="V25" i="1"/>
  <c r="V26" i="1"/>
  <c r="V24" i="1"/>
  <c r="V40" i="1"/>
  <c r="V56" i="1"/>
  <c r="V73" i="1"/>
  <c r="V74" i="1"/>
  <c r="V72" i="1"/>
  <c r="V117" i="1"/>
  <c r="V122" i="1"/>
  <c r="V32" i="1"/>
  <c r="V31" i="1"/>
  <c r="V61" i="1"/>
  <c r="V60" i="1"/>
  <c r="V64" i="1"/>
  <c r="V367" i="1"/>
  <c r="V366" i="1"/>
  <c r="V373" i="1"/>
  <c r="V361" i="1"/>
  <c r="V362" i="1"/>
  <c r="V364" i="1"/>
  <c r="V365" i="1"/>
  <c r="V461" i="1"/>
  <c r="V462" i="1"/>
  <c r="V541" i="1"/>
  <c r="V545" i="1"/>
  <c r="V547" i="1"/>
  <c r="V549" i="1"/>
  <c r="V548" i="1"/>
  <c r="V142" i="1"/>
  <c r="V150" i="1"/>
  <c r="V152" i="1"/>
  <c r="V151" i="1"/>
  <c r="V195" i="1"/>
  <c r="V194" i="1"/>
  <c r="V196" i="1"/>
  <c r="V504" i="1"/>
  <c r="V505" i="1"/>
  <c r="V506" i="1"/>
  <c r="V520" i="1"/>
  <c r="V522" i="1"/>
  <c r="V521" i="1"/>
  <c r="V530" i="1"/>
  <c r="V535" i="1"/>
  <c r="V534" i="1"/>
  <c r="V532" i="1"/>
  <c r="V533" i="1"/>
  <c r="V531" i="1"/>
  <c r="V537" i="1"/>
  <c r="V5" i="1"/>
  <c r="V53" i="1"/>
  <c r="V54" i="1"/>
  <c r="V55" i="1"/>
  <c r="V79" i="1"/>
  <c r="V96" i="1"/>
  <c r="V563" i="1"/>
  <c r="V564" i="1"/>
  <c r="V608" i="1"/>
  <c r="V609" i="1"/>
  <c r="V368" i="1"/>
  <c r="V369" i="1"/>
  <c r="V377" i="1"/>
  <c r="V376" i="1"/>
  <c r="V379" i="1"/>
  <c r="V457" i="1"/>
  <c r="V463" i="1"/>
  <c r="V98" i="1"/>
  <c r="V97" i="1"/>
  <c r="V22" i="1"/>
  <c r="V23" i="1"/>
  <c r="V36" i="1"/>
  <c r="V39" i="1"/>
  <c r="V105" i="1"/>
  <c r="V412" i="1"/>
  <c r="V413" i="1"/>
  <c r="V444" i="1"/>
  <c r="V445" i="1"/>
  <c r="V442" i="1"/>
  <c r="V443" i="1"/>
  <c r="V450" i="1"/>
  <c r="V449" i="1"/>
  <c r="V448" i="1"/>
  <c r="V454" i="1"/>
  <c r="V460" i="1"/>
  <c r="V458" i="1"/>
  <c r="V459" i="1"/>
  <c r="V464" i="1"/>
  <c r="V465" i="1"/>
  <c r="V392" i="1"/>
  <c r="V394" i="1"/>
  <c r="V393" i="1"/>
  <c r="V400" i="1"/>
  <c r="V399" i="1"/>
  <c r="V423" i="1"/>
  <c r="V432" i="1"/>
  <c r="V431" i="1"/>
  <c r="V439" i="1"/>
  <c r="V438" i="1"/>
  <c r="V437" i="1"/>
  <c r="V466" i="1"/>
  <c r="V272" i="1"/>
  <c r="V275" i="1"/>
  <c r="V273" i="1"/>
  <c r="W525" i="1"/>
  <c r="W526" i="1"/>
  <c r="W518" i="1"/>
  <c r="W519" i="1"/>
  <c r="W517" i="1"/>
  <c r="W539" i="1"/>
  <c r="W536" i="1"/>
  <c r="W538" i="1"/>
  <c r="W509" i="1"/>
  <c r="W528" i="1"/>
  <c r="W508" i="1"/>
  <c r="W507" i="1"/>
  <c r="W514" i="1"/>
  <c r="W510" i="1"/>
  <c r="W515" i="1"/>
  <c r="W64" i="1"/>
  <c r="W61" i="1"/>
  <c r="W60" i="1"/>
  <c r="W32" i="1"/>
  <c r="W31" i="1"/>
  <c r="W77" i="1"/>
  <c r="W70" i="1"/>
  <c r="W78" i="1"/>
  <c r="W69" i="1"/>
  <c r="W104" i="1"/>
  <c r="W12" i="1"/>
  <c r="W30" i="1"/>
  <c r="W14" i="1"/>
  <c r="W13" i="1"/>
  <c r="W15" i="1"/>
  <c r="W382" i="1"/>
  <c r="W403" i="1"/>
  <c r="W381" i="1"/>
  <c r="W396" i="1"/>
  <c r="W390" i="1"/>
  <c r="W434" i="1"/>
  <c r="W436" i="1"/>
  <c r="W375" i="1"/>
  <c r="W446" i="1"/>
  <c r="W435" i="1"/>
  <c r="W402" i="1"/>
  <c r="W378" i="1"/>
  <c r="W370" i="1"/>
  <c r="W389" i="1"/>
  <c r="W360" i="1"/>
  <c r="W99" i="1"/>
  <c r="W92" i="1"/>
  <c r="W57" i="1"/>
  <c r="W68" i="1"/>
  <c r="W100" i="1"/>
  <c r="W94" i="1"/>
  <c r="W93" i="1"/>
  <c r="W108" i="1"/>
  <c r="W113" i="1"/>
  <c r="W95" i="1"/>
  <c r="W11" i="1"/>
  <c r="W8" i="1"/>
  <c r="W27" i="1"/>
  <c r="W21" i="1"/>
  <c r="W28" i="1"/>
  <c r="W155" i="1"/>
  <c r="W147" i="1"/>
  <c r="W174" i="1"/>
  <c r="W193" i="1"/>
  <c r="W173" i="1"/>
  <c r="W219" i="1"/>
  <c r="W220" i="1"/>
  <c r="W215" i="1"/>
  <c r="W216" i="1"/>
  <c r="W171" i="1"/>
  <c r="W154" i="1"/>
  <c r="W153" i="1"/>
  <c r="W172" i="1"/>
  <c r="W9" i="1"/>
  <c r="W73" i="1"/>
  <c r="W10" i="1"/>
  <c r="W56" i="1"/>
  <c r="W40" i="1"/>
  <c r="W74" i="1"/>
  <c r="W117" i="1"/>
  <c r="W122" i="1"/>
  <c r="W6" i="1"/>
  <c r="W25" i="1"/>
  <c r="W72" i="1"/>
  <c r="W26" i="1"/>
  <c r="W24" i="1"/>
  <c r="W585" i="1"/>
  <c r="W577" i="1"/>
  <c r="W544" i="1"/>
  <c r="W563" i="1"/>
  <c r="W564" i="1"/>
  <c r="W583" i="1"/>
  <c r="W576" i="1"/>
  <c r="W569" i="1"/>
  <c r="W558" i="1"/>
  <c r="W557" i="1"/>
  <c r="W608" i="1"/>
  <c r="W609" i="1"/>
  <c r="W570" i="1"/>
  <c r="W584" i="1"/>
  <c r="W559" i="1"/>
  <c r="W419" i="1"/>
  <c r="W463" i="1"/>
  <c r="W441" i="1"/>
  <c r="W457" i="1"/>
  <c r="W427" i="1"/>
  <c r="W368" i="1"/>
  <c r="W369" i="1"/>
  <c r="W388" i="1"/>
  <c r="W377" i="1"/>
  <c r="W376" i="1"/>
  <c r="W379" i="1"/>
  <c r="W410" i="1"/>
  <c r="W418" i="1"/>
  <c r="W426" i="1"/>
  <c r="W425" i="1"/>
  <c r="W116" i="1"/>
  <c r="W114" i="1"/>
  <c r="W115" i="1"/>
  <c r="W123" i="1"/>
  <c r="W107" i="1"/>
  <c r="W75" i="1"/>
  <c r="W86" i="1"/>
  <c r="W106" i="1"/>
  <c r="W35" i="1"/>
  <c r="W102" i="1"/>
  <c r="W62" i="1"/>
  <c r="W98" i="1"/>
  <c r="W87" i="1"/>
  <c r="W103" i="1"/>
  <c r="W97" i="1"/>
  <c r="W105" i="1"/>
  <c r="W63" i="1"/>
  <c r="W51" i="1"/>
  <c r="W50" i="1"/>
  <c r="W36" i="1"/>
  <c r="W22" i="1"/>
  <c r="W39" i="1"/>
  <c r="W46" i="1"/>
  <c r="W47" i="1"/>
  <c r="W23" i="1"/>
  <c r="W48" i="1"/>
  <c r="W76" i="1"/>
  <c r="W65" i="1"/>
  <c r="W49" i="1"/>
  <c r="W66" i="1"/>
  <c r="W444" i="1"/>
  <c r="W450" i="1"/>
  <c r="W449" i="1"/>
  <c r="W445" i="1"/>
  <c r="W465" i="1"/>
  <c r="W412" i="1"/>
  <c r="W442" i="1"/>
  <c r="W413" i="1"/>
  <c r="W448" i="1"/>
  <c r="W464" i="1"/>
  <c r="W454" i="1"/>
  <c r="W460" i="1"/>
  <c r="W458" i="1"/>
  <c r="W459" i="1"/>
  <c r="W443" i="1"/>
  <c r="W432" i="1"/>
  <c r="W447" i="1"/>
  <c r="W466" i="1"/>
  <c r="W439" i="1"/>
  <c r="W438" i="1"/>
  <c r="W423" i="1"/>
  <c r="W437" i="1"/>
  <c r="W431" i="1"/>
  <c r="W392" i="1"/>
  <c r="W424" i="1"/>
  <c r="W394" i="1"/>
  <c r="W400" i="1"/>
  <c r="W393" i="1"/>
  <c r="W401" i="1"/>
  <c r="W399" i="1"/>
  <c r="W414" i="1"/>
  <c r="W373" i="1"/>
  <c r="W367" i="1"/>
  <c r="W366" i="1"/>
  <c r="W383" i="1"/>
  <c r="W385" i="1"/>
  <c r="W428" i="1"/>
  <c r="W422" i="1"/>
  <c r="W384" i="1"/>
  <c r="W417" i="1"/>
  <c r="W415" i="1"/>
  <c r="W397" i="1"/>
  <c r="W416" i="1"/>
  <c r="W404" i="1"/>
  <c r="W398" i="1"/>
  <c r="W361" i="1"/>
  <c r="W371" i="1"/>
  <c r="W362" i="1"/>
  <c r="W364" i="1"/>
  <c r="W386" i="1"/>
  <c r="W452" i="1"/>
  <c r="W453" i="1"/>
  <c r="W440" i="1"/>
  <c r="W461" i="1"/>
  <c r="W462" i="1"/>
  <c r="W365" i="1"/>
  <c r="W387" i="1"/>
  <c r="W433" i="1"/>
  <c r="W456" i="1"/>
  <c r="W455" i="1"/>
  <c r="W541" i="1"/>
  <c r="W547" i="1"/>
  <c r="W549" i="1"/>
  <c r="W548" i="1"/>
  <c r="W545" i="1"/>
  <c r="W602" i="1"/>
  <c r="W606" i="1"/>
  <c r="W603" i="1"/>
  <c r="W605" i="1"/>
  <c r="W580" i="1"/>
  <c r="W595" i="1"/>
  <c r="W560" i="1"/>
  <c r="W601" i="1"/>
  <c r="W589" i="1"/>
  <c r="W561" i="1"/>
  <c r="W150" i="1"/>
  <c r="W152" i="1"/>
  <c r="W148" i="1"/>
  <c r="W151" i="1"/>
  <c r="W142" i="1"/>
  <c r="W195" i="1"/>
  <c r="W194" i="1"/>
  <c r="W184" i="1"/>
  <c r="W183" i="1"/>
  <c r="W196" i="1"/>
  <c r="W180" i="1"/>
  <c r="W182" i="1"/>
  <c r="W179" i="1"/>
  <c r="W181" i="1"/>
  <c r="W178" i="1"/>
  <c r="W512" i="1"/>
  <c r="W504" i="1"/>
  <c r="W505" i="1"/>
  <c r="W506" i="1"/>
  <c r="W511" i="1"/>
  <c r="W532" i="1"/>
  <c r="W533" i="1"/>
  <c r="W530" i="1"/>
  <c r="W531" i="1"/>
  <c r="W535" i="1"/>
  <c r="W520" i="1"/>
  <c r="W522" i="1"/>
  <c r="W534" i="1"/>
  <c r="W537" i="1"/>
  <c r="W521" i="1"/>
  <c r="W20" i="1"/>
  <c r="W53" i="1"/>
  <c r="W19" i="1"/>
  <c r="W18" i="1"/>
  <c r="W5" i="1"/>
  <c r="W37" i="1"/>
  <c r="W54" i="1"/>
  <c r="W55" i="1"/>
  <c r="W96" i="1"/>
  <c r="W79" i="1"/>
  <c r="W357" i="1"/>
  <c r="W334" i="1"/>
  <c r="H414" i="1"/>
  <c r="H373" i="1"/>
  <c r="H367" i="1"/>
  <c r="H366" i="1"/>
  <c r="H383" i="1"/>
  <c r="H385" i="1"/>
  <c r="H428" i="1"/>
  <c r="H422" i="1"/>
  <c r="H384" i="1"/>
  <c r="H417" i="1"/>
  <c r="H415" i="1"/>
  <c r="H397" i="1"/>
  <c r="H416" i="1"/>
  <c r="H404" i="1"/>
  <c r="H398" i="1"/>
  <c r="H361" i="1"/>
  <c r="H371" i="1"/>
  <c r="H362" i="1"/>
  <c r="H364" i="1"/>
  <c r="H386" i="1"/>
  <c r="H452" i="1"/>
  <c r="H453" i="1"/>
  <c r="H440" i="1"/>
  <c r="H461" i="1"/>
  <c r="H462" i="1"/>
  <c r="H365" i="1"/>
  <c r="H387" i="1"/>
  <c r="H433" i="1"/>
  <c r="H456" i="1"/>
  <c r="H455" i="1"/>
  <c r="H541" i="1"/>
  <c r="H547" i="1"/>
  <c r="H549" i="1"/>
  <c r="H548" i="1"/>
  <c r="H545" i="1"/>
  <c r="H602" i="1"/>
  <c r="H606" i="1"/>
  <c r="H603" i="1"/>
  <c r="H605" i="1"/>
  <c r="H580" i="1"/>
  <c r="H595" i="1"/>
  <c r="H560" i="1"/>
  <c r="H601" i="1"/>
  <c r="H589" i="1"/>
  <c r="H561" i="1"/>
  <c r="H150" i="1"/>
  <c r="H152" i="1"/>
  <c r="H148" i="1"/>
  <c r="H151" i="1"/>
  <c r="H142" i="1"/>
  <c r="H195" i="1"/>
  <c r="H194" i="1"/>
  <c r="H184" i="1"/>
  <c r="H183" i="1"/>
  <c r="H196" i="1"/>
  <c r="H180" i="1"/>
  <c r="H182" i="1"/>
  <c r="H179" i="1"/>
  <c r="H181" i="1"/>
  <c r="H178" i="1"/>
  <c r="H512" i="1"/>
  <c r="H504" i="1"/>
  <c r="H505" i="1"/>
  <c r="H506" i="1"/>
  <c r="H511" i="1"/>
  <c r="H532" i="1"/>
  <c r="H533" i="1"/>
  <c r="H530" i="1"/>
  <c r="H531" i="1"/>
  <c r="H535" i="1"/>
  <c r="H520" i="1"/>
  <c r="H522" i="1"/>
  <c r="H534" i="1"/>
  <c r="H537" i="1"/>
  <c r="H521" i="1"/>
  <c r="H20" i="1"/>
  <c r="H53" i="1"/>
  <c r="H19" i="1"/>
  <c r="H18" i="1"/>
  <c r="H5" i="1"/>
  <c r="H37" i="1"/>
  <c r="H54" i="1"/>
  <c r="H55" i="1"/>
  <c r="H96" i="1"/>
  <c r="H79" i="1"/>
  <c r="H577" i="1"/>
  <c r="H544" i="1"/>
  <c r="H563" i="1"/>
  <c r="H564" i="1"/>
  <c r="H583" i="1"/>
  <c r="H576" i="1"/>
  <c r="H569" i="1"/>
  <c r="H558" i="1"/>
  <c r="H557" i="1"/>
  <c r="H608" i="1"/>
  <c r="H609" i="1"/>
  <c r="H570" i="1"/>
  <c r="H584" i="1"/>
  <c r="H559" i="1"/>
  <c r="H419" i="1"/>
  <c r="H463" i="1"/>
  <c r="H441" i="1"/>
  <c r="H457" i="1"/>
  <c r="H427" i="1"/>
  <c r="H368" i="1"/>
  <c r="H369" i="1"/>
  <c r="H388" i="1"/>
  <c r="H377" i="1"/>
  <c r="H376" i="1"/>
  <c r="H379" i="1"/>
  <c r="H410" i="1"/>
  <c r="H418" i="1"/>
  <c r="H426" i="1"/>
  <c r="H425" i="1"/>
  <c r="H116" i="1"/>
  <c r="H114" i="1"/>
  <c r="H115" i="1"/>
  <c r="H123" i="1"/>
  <c r="H107" i="1"/>
  <c r="H75" i="1"/>
  <c r="H86" i="1"/>
  <c r="H106" i="1"/>
  <c r="H35" i="1"/>
  <c r="H102" i="1"/>
  <c r="H62" i="1"/>
  <c r="H98" i="1"/>
  <c r="H87" i="1"/>
  <c r="H103" i="1"/>
  <c r="H97" i="1"/>
  <c r="H105" i="1"/>
  <c r="H63" i="1"/>
  <c r="H51" i="1"/>
  <c r="H50" i="1"/>
  <c r="H36" i="1"/>
  <c r="H22" i="1"/>
  <c r="H39" i="1"/>
  <c r="H46" i="1"/>
  <c r="H47" i="1"/>
  <c r="H23" i="1"/>
  <c r="H48" i="1"/>
  <c r="H76" i="1"/>
  <c r="H65" i="1"/>
  <c r="H49" i="1"/>
  <c r="H66" i="1"/>
  <c r="H444" i="1"/>
  <c r="H450" i="1"/>
  <c r="H449" i="1"/>
  <c r="H445" i="1"/>
  <c r="H465" i="1"/>
  <c r="H412" i="1"/>
  <c r="H442" i="1"/>
  <c r="H413" i="1"/>
  <c r="H448" i="1"/>
  <c r="H464" i="1"/>
  <c r="H454" i="1"/>
  <c r="H460" i="1"/>
  <c r="H458" i="1"/>
  <c r="H459" i="1"/>
  <c r="H443" i="1"/>
  <c r="H432" i="1"/>
  <c r="H447" i="1"/>
  <c r="H466" i="1"/>
  <c r="H439" i="1"/>
  <c r="H438" i="1"/>
  <c r="H423" i="1"/>
  <c r="H437" i="1"/>
  <c r="H431" i="1"/>
  <c r="H392" i="1"/>
  <c r="H424" i="1"/>
  <c r="H394" i="1"/>
  <c r="H400" i="1"/>
  <c r="H393" i="1"/>
  <c r="H401" i="1"/>
  <c r="H399" i="1"/>
  <c r="H585" i="1"/>
  <c r="AA258" i="1" l="1"/>
  <c r="AA592" i="1"/>
  <c r="AA567" i="1"/>
  <c r="AA495" i="1"/>
  <c r="AA294" i="1"/>
  <c r="AA477" i="1"/>
  <c r="AA265" i="1"/>
  <c r="AA291" i="1"/>
  <c r="Z545" i="1"/>
  <c r="Z222" i="1"/>
  <c r="Z161" i="1"/>
  <c r="AA431" i="1"/>
  <c r="AA394" i="1"/>
  <c r="AA448" i="1"/>
  <c r="AA412" i="1"/>
  <c r="AA97" i="1"/>
  <c r="AA457" i="1"/>
  <c r="AA54" i="1"/>
  <c r="AA531" i="1"/>
  <c r="AA520" i="1"/>
  <c r="AA195" i="1"/>
  <c r="AA549" i="1"/>
  <c r="AA366" i="1"/>
  <c r="AA24" i="1"/>
  <c r="AA220" i="1"/>
  <c r="AA174" i="1"/>
  <c r="AA28" i="1"/>
  <c r="AA402" i="1"/>
  <c r="AA30" i="1"/>
  <c r="AA528" i="1"/>
  <c r="AA510" i="1"/>
  <c r="AA218" i="1"/>
  <c r="AA581" i="1"/>
  <c r="AA554" i="1"/>
  <c r="AA482" i="1"/>
  <c r="AA475" i="1"/>
  <c r="AA276" i="1"/>
  <c r="AA493" i="1"/>
  <c r="AA611" i="1"/>
  <c r="AA160" i="1"/>
  <c r="AA252" i="1"/>
  <c r="AA272" i="1"/>
  <c r="Z373" i="1"/>
  <c r="Z158" i="1"/>
  <c r="AA432" i="1"/>
  <c r="AA392" i="1"/>
  <c r="AA449" i="1"/>
  <c r="AA105" i="1"/>
  <c r="AA98" i="1"/>
  <c r="AA379" i="1"/>
  <c r="AA53" i="1"/>
  <c r="AA533" i="1"/>
  <c r="AA151" i="1"/>
  <c r="AA547" i="1"/>
  <c r="AA362" i="1"/>
  <c r="AA367" i="1"/>
  <c r="AA122" i="1"/>
  <c r="AA26" i="1"/>
  <c r="AA219" i="1"/>
  <c r="AA153" i="1"/>
  <c r="AA27" i="1"/>
  <c r="AA403" i="1"/>
  <c r="AA370" i="1"/>
  <c r="AA15" i="1"/>
  <c r="AA525" i="1"/>
  <c r="AA507" i="1"/>
  <c r="AA579" i="1"/>
  <c r="AA553" i="1"/>
  <c r="AA483" i="1"/>
  <c r="AA316" i="1"/>
  <c r="AA274" i="1"/>
  <c r="AA492" i="1"/>
  <c r="AA610" i="1"/>
  <c r="AA159" i="1"/>
  <c r="AA250" i="1"/>
  <c r="AA273" i="1"/>
  <c r="AA423" i="1"/>
  <c r="AA465" i="1"/>
  <c r="AA450" i="1"/>
  <c r="AA376" i="1"/>
  <c r="AA564" i="1"/>
  <c r="AA532" i="1"/>
  <c r="AA152" i="1"/>
  <c r="AA361" i="1"/>
  <c r="AA64" i="1"/>
  <c r="AA117" i="1"/>
  <c r="AA25" i="1"/>
  <c r="AA216" i="1"/>
  <c r="AA154" i="1"/>
  <c r="AA11" i="1"/>
  <c r="AA396" i="1"/>
  <c r="AA360" i="1"/>
  <c r="AA14" i="1"/>
  <c r="AA526" i="1"/>
  <c r="AA508" i="1"/>
  <c r="AA197" i="1"/>
  <c r="AA578" i="1"/>
  <c r="AA496" i="1"/>
  <c r="AA479" i="1"/>
  <c r="AA297" i="1"/>
  <c r="AA269" i="1"/>
  <c r="AA494" i="1"/>
  <c r="AA604" i="1"/>
  <c r="AA170" i="1"/>
  <c r="AA267" i="1"/>
  <c r="AA251" i="1"/>
  <c r="Z438" i="1"/>
  <c r="AA466" i="1"/>
  <c r="AA464" i="1"/>
  <c r="AA443" i="1"/>
  <c r="AA377" i="1"/>
  <c r="AA563" i="1"/>
  <c r="AA534" i="1"/>
  <c r="AA506" i="1"/>
  <c r="AA150" i="1"/>
  <c r="AA541" i="1"/>
  <c r="AA60" i="1"/>
  <c r="AA72" i="1"/>
  <c r="AA10" i="1"/>
  <c r="AA215" i="1"/>
  <c r="AA155" i="1"/>
  <c r="AA8" i="1"/>
  <c r="AA389" i="1"/>
  <c r="AA13" i="1"/>
  <c r="AA519" i="1"/>
  <c r="AA509" i="1"/>
  <c r="AA607" i="1"/>
  <c r="AA568" i="1"/>
  <c r="AA497" i="1"/>
  <c r="AA478" i="1"/>
  <c r="AA296" i="1"/>
  <c r="AA257" i="1"/>
  <c r="AA600" i="1"/>
  <c r="AA169" i="1"/>
  <c r="AA157" i="1"/>
  <c r="AA266" i="1"/>
  <c r="AA340" i="1"/>
  <c r="Z463" i="1"/>
  <c r="AA459" i="1"/>
  <c r="AA442" i="1"/>
  <c r="AA39" i="1"/>
  <c r="AA369" i="1"/>
  <c r="AA535" i="1"/>
  <c r="AA505" i="1"/>
  <c r="AA142" i="1"/>
  <c r="AA462" i="1"/>
  <c r="AA61" i="1"/>
  <c r="AA74" i="1"/>
  <c r="AA9" i="1"/>
  <c r="AA193" i="1"/>
  <c r="AA147" i="1"/>
  <c r="AA446" i="1"/>
  <c r="AA390" i="1"/>
  <c r="AA77" i="1"/>
  <c r="AA12" i="1"/>
  <c r="AA517" i="1"/>
  <c r="AA192" i="1"/>
  <c r="AA599" i="1"/>
  <c r="Z608" i="1"/>
  <c r="AA437" i="1"/>
  <c r="AA399" i="1"/>
  <c r="AA458" i="1"/>
  <c r="AA445" i="1"/>
  <c r="AA36" i="1"/>
  <c r="AA368" i="1"/>
  <c r="AA96" i="1"/>
  <c r="AA530" i="1"/>
  <c r="AA504" i="1"/>
  <c r="AA461" i="1"/>
  <c r="AA31" i="1"/>
  <c r="AA73" i="1"/>
  <c r="AA6" i="1"/>
  <c r="AA172" i="1"/>
  <c r="AA113" i="1"/>
  <c r="AA68" i="1"/>
  <c r="AA435" i="1"/>
  <c r="AA378" i="1"/>
  <c r="AA78" i="1"/>
  <c r="AA539" i="1"/>
  <c r="AA518" i="1"/>
  <c r="AA223" i="1"/>
  <c r="AA176" i="1"/>
  <c r="AA593" i="1"/>
  <c r="AA566" i="1"/>
  <c r="AA487" i="1"/>
  <c r="AA473" i="1"/>
  <c r="AA295" i="1"/>
  <c r="AA259" i="1"/>
  <c r="AA598" i="1"/>
  <c r="AA264" i="1"/>
  <c r="Z5" i="1"/>
  <c r="AA400" i="1"/>
  <c r="AA460" i="1"/>
  <c r="AA444" i="1"/>
  <c r="AA23" i="1"/>
  <c r="AA609" i="1"/>
  <c r="AA79" i="1"/>
  <c r="AA521" i="1"/>
  <c r="AA196" i="1"/>
  <c r="AA365" i="1"/>
  <c r="AA32" i="1"/>
  <c r="AA56" i="1"/>
  <c r="AA171" i="1"/>
  <c r="AA108" i="1"/>
  <c r="AA57" i="1"/>
  <c r="AA436" i="1"/>
  <c r="AA69" i="1"/>
  <c r="AA538" i="1"/>
  <c r="AA514" i="1"/>
  <c r="AA175" i="1"/>
  <c r="AA591" i="1"/>
  <c r="AA556" i="1"/>
  <c r="AA484" i="1"/>
  <c r="AA476" i="1"/>
  <c r="AA290" i="1"/>
  <c r="AA255" i="1"/>
  <c r="AA588" i="1"/>
  <c r="AA254" i="1"/>
  <c r="AA439" i="1"/>
  <c r="AA393" i="1"/>
  <c r="AA454" i="1"/>
  <c r="AA413" i="1"/>
  <c r="AA22" i="1"/>
  <c r="AA55" i="1"/>
  <c r="AA537" i="1"/>
  <c r="AA522" i="1"/>
  <c r="AA194" i="1"/>
  <c r="AA548" i="1"/>
  <c r="AA364" i="1"/>
  <c r="AA40" i="1"/>
  <c r="AA173" i="1"/>
  <c r="AA95" i="1"/>
  <c r="AA21" i="1"/>
  <c r="AA434" i="1"/>
  <c r="AA70" i="1"/>
  <c r="AA536" i="1"/>
  <c r="AA217" i="1"/>
  <c r="AA594" i="1"/>
  <c r="AA555" i="1"/>
  <c r="AA481" i="1"/>
  <c r="AA474" i="1"/>
  <c r="AA277" i="1"/>
  <c r="AA256" i="1"/>
  <c r="AA253" i="1"/>
  <c r="AA275" i="1"/>
  <c r="H64" i="1"/>
  <c r="H61" i="1"/>
  <c r="H60" i="1"/>
  <c r="H32" i="1"/>
  <c r="H31" i="1"/>
  <c r="H77" i="1"/>
  <c r="H70" i="1"/>
  <c r="H78" i="1"/>
  <c r="H69" i="1"/>
  <c r="H104" i="1"/>
  <c r="H12" i="1"/>
  <c r="H30" i="1"/>
  <c r="H14" i="1"/>
  <c r="H13" i="1"/>
  <c r="H15" i="1"/>
  <c r="H382" i="1"/>
  <c r="H403" i="1"/>
  <c r="H381" i="1"/>
  <c r="H396" i="1"/>
  <c r="H390" i="1"/>
  <c r="H434" i="1"/>
  <c r="H436" i="1"/>
  <c r="H375" i="1"/>
  <c r="H446" i="1"/>
  <c r="H435" i="1"/>
  <c r="H402" i="1"/>
  <c r="H378" i="1"/>
  <c r="H370" i="1"/>
  <c r="H389" i="1"/>
  <c r="H360" i="1"/>
  <c r="H99" i="1"/>
  <c r="H92" i="1"/>
  <c r="H57" i="1"/>
  <c r="H68" i="1"/>
  <c r="H100" i="1"/>
  <c r="H94" i="1"/>
  <c r="H93" i="1"/>
  <c r="H108" i="1"/>
  <c r="H113" i="1"/>
  <c r="H95" i="1"/>
  <c r="H11" i="1"/>
  <c r="H8" i="1"/>
  <c r="H27" i="1"/>
  <c r="H21" i="1"/>
  <c r="H28" i="1"/>
  <c r="H155" i="1"/>
  <c r="H147" i="1"/>
  <c r="H174" i="1"/>
  <c r="H193" i="1"/>
  <c r="H173" i="1"/>
  <c r="H249" i="1"/>
  <c r="H219" i="1"/>
  <c r="H220" i="1"/>
  <c r="H215" i="1"/>
  <c r="H216" i="1"/>
  <c r="H171" i="1"/>
  <c r="H248" i="1"/>
  <c r="H154" i="1"/>
  <c r="H153" i="1"/>
  <c r="H172" i="1"/>
  <c r="H9" i="1"/>
  <c r="H73" i="1"/>
  <c r="H10" i="1"/>
  <c r="H56" i="1"/>
  <c r="H40" i="1"/>
  <c r="H140" i="1"/>
  <c r="H141" i="1"/>
  <c r="H74" i="1"/>
  <c r="H117" i="1"/>
  <c r="H122" i="1"/>
  <c r="H6" i="1"/>
  <c r="H25" i="1"/>
  <c r="H72" i="1"/>
  <c r="H26" i="1"/>
  <c r="H24" i="1"/>
  <c r="H518" i="1"/>
  <c r="H519" i="1"/>
  <c r="H517" i="1"/>
  <c r="H539" i="1"/>
  <c r="H536" i="1"/>
  <c r="H538" i="1"/>
  <c r="H509" i="1"/>
  <c r="H528" i="1"/>
  <c r="H508" i="1"/>
  <c r="H507" i="1"/>
  <c r="H514" i="1"/>
  <c r="H510" i="1"/>
  <c r="H515" i="1"/>
  <c r="H526" i="1"/>
  <c r="H525" i="1"/>
  <c r="W256" i="1" l="1"/>
  <c r="W255" i="1"/>
  <c r="W259" i="1"/>
  <c r="W258" i="1"/>
  <c r="W257" i="1"/>
  <c r="W269" i="1"/>
  <c r="W274" i="1"/>
  <c r="W276" i="1"/>
  <c r="W277" i="1"/>
  <c r="W290" i="1"/>
  <c r="W295" i="1"/>
  <c r="W291" i="1"/>
  <c r="W296" i="1"/>
  <c r="W297" i="1"/>
  <c r="W316" i="1"/>
  <c r="W475" i="1"/>
  <c r="W474" i="1"/>
  <c r="W476" i="1"/>
  <c r="W477" i="1"/>
  <c r="W478" i="1"/>
  <c r="W479" i="1"/>
  <c r="W483" i="1"/>
  <c r="W482" i="1"/>
  <c r="W481" i="1"/>
  <c r="W484" i="1"/>
  <c r="W487" i="1"/>
  <c r="W495" i="1"/>
  <c r="W497" i="1"/>
  <c r="W496" i="1"/>
  <c r="W553" i="1"/>
  <c r="W554" i="1"/>
  <c r="W555" i="1"/>
  <c r="W556" i="1"/>
  <c r="W566" i="1"/>
  <c r="W567" i="1"/>
  <c r="W568" i="1"/>
  <c r="W578" i="1"/>
  <c r="W579" i="1"/>
  <c r="W581" i="1"/>
  <c r="W594" i="1"/>
  <c r="W591" i="1"/>
  <c r="W593" i="1"/>
  <c r="W592" i="1"/>
  <c r="W607" i="1"/>
  <c r="W144" i="1"/>
  <c r="W145" i="1"/>
  <c r="W156" i="1"/>
  <c r="W168" i="1"/>
  <c r="W175" i="1"/>
  <c r="W176" i="1"/>
  <c r="W192" i="1"/>
  <c r="W185" i="1"/>
  <c r="W197" i="1"/>
  <c r="W225" i="1"/>
  <c r="W218" i="1"/>
  <c r="W217" i="1"/>
  <c r="W222" i="1"/>
  <c r="W223" i="1"/>
  <c r="W231" i="1"/>
  <c r="W273" i="1"/>
  <c r="W272" i="1"/>
  <c r="W275" i="1"/>
  <c r="W293" i="1"/>
  <c r="W292" i="1"/>
  <c r="W318" i="1"/>
  <c r="W317" i="1"/>
  <c r="W327" i="1"/>
  <c r="W322" i="1"/>
  <c r="W323" i="1"/>
  <c r="W325" i="1"/>
  <c r="W324" i="1"/>
  <c r="W326" i="1"/>
  <c r="W329" i="1"/>
  <c r="W340" i="1"/>
  <c r="W251" i="1"/>
  <c r="W250" i="1"/>
  <c r="W252" i="1"/>
  <c r="W253" i="1"/>
  <c r="W254" i="1"/>
  <c r="W264" i="1"/>
  <c r="W265" i="1"/>
  <c r="W266" i="1"/>
  <c r="W267" i="1"/>
  <c r="W278" i="1"/>
  <c r="W289" i="1"/>
  <c r="W288" i="1"/>
  <c r="W286" i="1"/>
  <c r="W287" i="1"/>
  <c r="W294" i="1"/>
  <c r="W157" i="1"/>
  <c r="W158" i="1"/>
  <c r="W159" i="1"/>
  <c r="W160" i="1"/>
  <c r="W161" i="1"/>
  <c r="W164" i="1"/>
  <c r="W166" i="1"/>
  <c r="W165" i="1"/>
  <c r="W169" i="1"/>
  <c r="W170" i="1"/>
  <c r="W211" i="1"/>
  <c r="W213" i="1"/>
  <c r="W214" i="1"/>
  <c r="W212" i="1"/>
  <c r="W221" i="1"/>
  <c r="W137" i="1"/>
  <c r="W133" i="1"/>
  <c r="W132" i="1"/>
  <c r="W130" i="1"/>
  <c r="W134" i="1"/>
  <c r="W131" i="1"/>
  <c r="W135" i="1"/>
  <c r="W67" i="1"/>
  <c r="W136" i="1"/>
  <c r="W138" i="1"/>
  <c r="W139" i="1"/>
  <c r="W112" i="1"/>
  <c r="W111" i="1"/>
  <c r="W110" i="1"/>
  <c r="W109" i="1"/>
  <c r="W552" i="1"/>
  <c r="W551" i="1"/>
  <c r="W550" i="1"/>
  <c r="W572" i="1"/>
  <c r="W573" i="1"/>
  <c r="W586" i="1"/>
  <c r="W587" i="1"/>
  <c r="W588" i="1"/>
  <c r="W598" i="1"/>
  <c r="W599" i="1"/>
  <c r="W600" i="1"/>
  <c r="W604" i="1"/>
  <c r="W610" i="1"/>
  <c r="W611" i="1"/>
  <c r="W613" i="1"/>
  <c r="W472" i="1"/>
  <c r="W469" i="1"/>
  <c r="W470" i="1"/>
  <c r="W471" i="1"/>
  <c r="W498" i="1"/>
  <c r="W499" i="1"/>
  <c r="W500" i="1"/>
  <c r="W503" i="1"/>
  <c r="W502" i="1"/>
  <c r="W501" i="1"/>
  <c r="W488" i="1"/>
  <c r="W489" i="1"/>
  <c r="W494" i="1"/>
  <c r="W492" i="1"/>
  <c r="W493" i="1"/>
  <c r="W205" i="1"/>
  <c r="W209" i="1"/>
  <c r="W210" i="1"/>
  <c r="W203" i="1"/>
  <c r="W206" i="1"/>
  <c r="W204" i="1"/>
  <c r="W208" i="1"/>
  <c r="W224" i="1"/>
  <c r="W247" i="1"/>
  <c r="W226" i="1"/>
  <c r="W232" i="1"/>
  <c r="W241" i="1"/>
  <c r="W240" i="1"/>
  <c r="W233" i="1"/>
  <c r="W234" i="1"/>
  <c r="W186" i="1"/>
  <c r="W187" i="1"/>
  <c r="W188" i="1"/>
  <c r="W189" i="1"/>
  <c r="W190" i="1"/>
  <c r="W227" i="1"/>
  <c r="W228" i="1"/>
  <c r="W236" i="1"/>
  <c r="W235" i="1"/>
  <c r="W229" i="1"/>
  <c r="W242" i="1"/>
  <c r="W245" i="1"/>
  <c r="W244" i="1"/>
  <c r="W243" i="1"/>
  <c r="W246" i="1"/>
  <c r="W308" i="1"/>
  <c r="W303" i="1"/>
  <c r="W305" i="1"/>
  <c r="W304" i="1"/>
  <c r="W309" i="1"/>
  <c r="W355" i="1"/>
  <c r="W356" i="1"/>
  <c r="W320" i="1"/>
  <c r="W306" i="1"/>
  <c r="W311" i="1"/>
  <c r="W310" i="1"/>
  <c r="W336" i="1"/>
  <c r="W338" i="1"/>
  <c r="W339" i="1"/>
  <c r="W337" i="1"/>
  <c r="W59" i="1"/>
  <c r="W58" i="1"/>
  <c r="W81" i="1"/>
  <c r="W80" i="1"/>
  <c r="W82" i="1"/>
  <c r="W83" i="1"/>
  <c r="W118" i="1"/>
  <c r="W124" i="1"/>
  <c r="W125" i="1"/>
  <c r="W126" i="1"/>
  <c r="W120" i="1"/>
  <c r="W121" i="1"/>
  <c r="W119" i="1"/>
  <c r="W127" i="1"/>
  <c r="W129" i="1"/>
  <c r="W300" i="1"/>
  <c r="W348" i="1"/>
  <c r="W352" i="1"/>
  <c r="W350" i="1"/>
  <c r="W354" i="1"/>
  <c r="W345" i="1"/>
  <c r="W301" i="1"/>
  <c r="W344" i="1"/>
  <c r="W302" i="1"/>
  <c r="W347" i="1"/>
  <c r="W346" i="1"/>
  <c r="W349" i="1"/>
  <c r="W335" i="1"/>
  <c r="W351" i="1"/>
  <c r="W353" i="1"/>
  <c r="W268" i="1"/>
  <c r="W280" i="1"/>
  <c r="W283" i="1"/>
  <c r="W282" i="1"/>
  <c r="W281" i="1"/>
  <c r="W284" i="1"/>
  <c r="W343" i="1"/>
  <c r="W299" i="1"/>
  <c r="W298" i="1"/>
  <c r="W331" i="1"/>
  <c r="W330" i="1"/>
  <c r="W333" i="1"/>
  <c r="W332" i="1"/>
  <c r="W473" i="1"/>
  <c r="C31" i="3"/>
  <c r="B31" i="3"/>
  <c r="C30" i="3"/>
  <c r="B30" i="3"/>
  <c r="C29" i="3"/>
  <c r="B29" i="3"/>
  <c r="C29" i="2"/>
  <c r="C30" i="2"/>
  <c r="C31" i="2"/>
  <c r="B31" i="2"/>
  <c r="B30" i="2"/>
  <c r="B29" i="2"/>
  <c r="S290" i="1"/>
  <c r="S295" i="1"/>
  <c r="S291" i="1"/>
  <c r="S296" i="1"/>
  <c r="S297" i="1"/>
  <c r="S316" i="1"/>
  <c r="S273" i="1"/>
  <c r="S272" i="1"/>
  <c r="S275" i="1"/>
  <c r="S293" i="1"/>
  <c r="S292" i="1"/>
  <c r="S318" i="1"/>
  <c r="S317" i="1"/>
  <c r="S327" i="1"/>
  <c r="S322" i="1"/>
  <c r="S323" i="1"/>
  <c r="S325" i="1"/>
  <c r="S324" i="1"/>
  <c r="S326" i="1"/>
  <c r="S329" i="1"/>
  <c r="S340" i="1"/>
  <c r="S205" i="1"/>
  <c r="S209" i="1"/>
  <c r="S210" i="1"/>
  <c r="S203" i="1"/>
  <c r="S206" i="1"/>
  <c r="S204" i="1"/>
  <c r="S208" i="1"/>
  <c r="S224" i="1"/>
  <c r="S226" i="1"/>
  <c r="S232" i="1"/>
  <c r="S241" i="1"/>
  <c r="S240" i="1"/>
  <c r="S233" i="1"/>
  <c r="S234" i="1"/>
  <c r="S475" i="1"/>
  <c r="S474" i="1"/>
  <c r="S476" i="1"/>
  <c r="S473" i="1"/>
  <c r="S477" i="1"/>
  <c r="S478" i="1"/>
  <c r="S479" i="1"/>
  <c r="S483" i="1"/>
  <c r="S482" i="1"/>
  <c r="S481" i="1"/>
  <c r="S484" i="1"/>
  <c r="S487" i="1"/>
  <c r="S495" i="1"/>
  <c r="S497" i="1"/>
  <c r="S496" i="1"/>
  <c r="S251" i="1"/>
  <c r="S250" i="1"/>
  <c r="S252" i="1"/>
  <c r="S253" i="1"/>
  <c r="S254" i="1"/>
  <c r="S264" i="1"/>
  <c r="S265" i="1"/>
  <c r="S266" i="1"/>
  <c r="S267" i="1"/>
  <c r="S278" i="1"/>
  <c r="S289" i="1"/>
  <c r="S288" i="1"/>
  <c r="S286" i="1"/>
  <c r="S287" i="1"/>
  <c r="S294" i="1"/>
  <c r="S186" i="1"/>
  <c r="S187" i="1"/>
  <c r="S188" i="1"/>
  <c r="S189" i="1"/>
  <c r="S190" i="1"/>
  <c r="S227" i="1"/>
  <c r="S228" i="1"/>
  <c r="S236" i="1"/>
  <c r="S235" i="1"/>
  <c r="S229" i="1"/>
  <c r="S242" i="1"/>
  <c r="S245" i="1"/>
  <c r="S244" i="1"/>
  <c r="S243" i="1"/>
  <c r="S246" i="1"/>
  <c r="S553" i="1"/>
  <c r="S554" i="1"/>
  <c r="S555" i="1"/>
  <c r="S556" i="1"/>
  <c r="S566" i="1"/>
  <c r="S567" i="1"/>
  <c r="S568" i="1"/>
  <c r="S578" i="1"/>
  <c r="S579" i="1"/>
  <c r="S581" i="1"/>
  <c r="S594" i="1"/>
  <c r="S591" i="1"/>
  <c r="S593" i="1"/>
  <c r="S592" i="1"/>
  <c r="S607" i="1"/>
  <c r="S157" i="1"/>
  <c r="S158" i="1"/>
  <c r="S159" i="1"/>
  <c r="S160" i="1"/>
  <c r="S161" i="1"/>
  <c r="S164" i="1"/>
  <c r="S166" i="1"/>
  <c r="S165" i="1"/>
  <c r="S169" i="1"/>
  <c r="S170" i="1"/>
  <c r="S211" i="1"/>
  <c r="S213" i="1"/>
  <c r="S214" i="1"/>
  <c r="S212" i="1"/>
  <c r="S221" i="1"/>
  <c r="S308" i="1"/>
  <c r="S303" i="1"/>
  <c r="S305" i="1"/>
  <c r="S304" i="1"/>
  <c r="S309" i="1"/>
  <c r="S355" i="1"/>
  <c r="S320" i="1"/>
  <c r="S306" i="1"/>
  <c r="S311" i="1"/>
  <c r="S310" i="1"/>
  <c r="S336" i="1"/>
  <c r="S338" i="1"/>
  <c r="S339" i="1"/>
  <c r="S337" i="1"/>
  <c r="S144" i="1"/>
  <c r="S145" i="1"/>
  <c r="S156" i="1"/>
  <c r="S168" i="1"/>
  <c r="S175" i="1"/>
  <c r="S176" i="1"/>
  <c r="S192" i="1"/>
  <c r="S185" i="1"/>
  <c r="S197" i="1"/>
  <c r="S225" i="1"/>
  <c r="S218" i="1"/>
  <c r="S217" i="1"/>
  <c r="S222" i="1"/>
  <c r="S223" i="1"/>
  <c r="S231" i="1"/>
  <c r="S137" i="1"/>
  <c r="S132" i="1"/>
  <c r="S130" i="1"/>
  <c r="S134" i="1"/>
  <c r="S131" i="1"/>
  <c r="S135" i="1"/>
  <c r="S59" i="1"/>
  <c r="S58" i="1"/>
  <c r="S81" i="1"/>
  <c r="S80" i="1"/>
  <c r="S82" i="1"/>
  <c r="S83" i="1"/>
  <c r="S118" i="1"/>
  <c r="S124" i="1"/>
  <c r="S125" i="1"/>
  <c r="S126" i="1"/>
  <c r="S120" i="1"/>
  <c r="S121" i="1"/>
  <c r="S119" i="1"/>
  <c r="S127" i="1"/>
  <c r="S129" i="1"/>
  <c r="S552" i="1"/>
  <c r="S551" i="1"/>
  <c r="S550" i="1"/>
  <c r="S572" i="1"/>
  <c r="S573" i="1"/>
  <c r="S586" i="1"/>
  <c r="S587" i="1"/>
  <c r="S588" i="1"/>
  <c r="S598" i="1"/>
  <c r="S599" i="1"/>
  <c r="S600" i="1"/>
  <c r="S604" i="1"/>
  <c r="S610" i="1"/>
  <c r="S611" i="1"/>
  <c r="S300" i="1"/>
  <c r="S348" i="1"/>
  <c r="S352" i="1"/>
  <c r="S350" i="1"/>
  <c r="S354" i="1"/>
  <c r="S345" i="1"/>
  <c r="S301" i="1"/>
  <c r="S344" i="1"/>
  <c r="S302" i="1"/>
  <c r="S347" i="1"/>
  <c r="S346" i="1"/>
  <c r="S349" i="1"/>
  <c r="S335" i="1"/>
  <c r="S351" i="1"/>
  <c r="S353" i="1"/>
  <c r="S494" i="1"/>
  <c r="S492" i="1"/>
  <c r="S493" i="1"/>
  <c r="S268" i="1"/>
  <c r="S280" i="1"/>
  <c r="S283" i="1"/>
  <c r="S282" i="1"/>
  <c r="S281" i="1"/>
  <c r="S284" i="1"/>
  <c r="S343" i="1"/>
  <c r="S299" i="1"/>
  <c r="S298" i="1"/>
  <c r="S331" i="1"/>
  <c r="S330" i="1"/>
  <c r="S333" i="1"/>
  <c r="S332" i="1"/>
  <c r="S334" i="1"/>
  <c r="S255" i="1"/>
  <c r="S259" i="1"/>
  <c r="S258" i="1"/>
  <c r="S257" i="1"/>
  <c r="S269" i="1"/>
  <c r="S274" i="1"/>
  <c r="S276" i="1"/>
  <c r="S277" i="1"/>
  <c r="S256" i="1"/>
  <c r="H185" i="1"/>
  <c r="H168" i="1"/>
  <c r="H192" i="1"/>
  <c r="H225" i="1"/>
  <c r="H197" i="1"/>
  <c r="H144" i="1"/>
  <c r="H156" i="1"/>
  <c r="H145" i="1"/>
  <c r="H175" i="1"/>
  <c r="H176" i="1"/>
  <c r="H222" i="1"/>
  <c r="H218" i="1"/>
  <c r="H217" i="1"/>
  <c r="H223" i="1"/>
  <c r="H231" i="1"/>
  <c r="H579" i="1"/>
  <c r="H566" i="1"/>
  <c r="H553" i="1"/>
  <c r="H567" i="1"/>
  <c r="H554" i="1"/>
  <c r="H568" i="1"/>
  <c r="H555" i="1"/>
  <c r="H581" i="1"/>
  <c r="H591" i="1"/>
  <c r="H556" i="1"/>
  <c r="H593" i="1"/>
  <c r="H592" i="1"/>
  <c r="H607" i="1"/>
  <c r="H594" i="1"/>
  <c r="H578" i="1"/>
  <c r="H290" i="1"/>
  <c r="H291" i="1"/>
  <c r="H276" i="1"/>
  <c r="H277" i="1"/>
  <c r="H297" i="1"/>
  <c r="H316" i="1"/>
  <c r="H274" i="1"/>
  <c r="H296" i="1"/>
  <c r="H477" i="1"/>
  <c r="H475" i="1"/>
  <c r="H474" i="1"/>
  <c r="H473" i="1"/>
  <c r="H479" i="1"/>
  <c r="H476" i="1"/>
  <c r="H478" i="1"/>
  <c r="H483" i="1"/>
  <c r="H482" i="1"/>
  <c r="H481" i="1"/>
  <c r="H487" i="1"/>
  <c r="H484" i="1"/>
  <c r="H497" i="1"/>
  <c r="H495" i="1"/>
  <c r="H496" i="1"/>
  <c r="H258" i="1"/>
  <c r="H255" i="1"/>
  <c r="H257" i="1"/>
  <c r="H295" i="1"/>
  <c r="H269" i="1"/>
  <c r="H259" i="1"/>
  <c r="H256" i="1"/>
  <c r="H283" i="1" l="1"/>
  <c r="H282" i="1"/>
  <c r="H280" i="1"/>
  <c r="H268" i="1"/>
  <c r="H281" i="1"/>
  <c r="H357" i="1"/>
  <c r="H330" i="1"/>
  <c r="H298" i="1"/>
  <c r="H331" i="1"/>
  <c r="H284" i="1"/>
  <c r="H334" i="1"/>
  <c r="H343" i="1"/>
  <c r="H333" i="1"/>
  <c r="H332" i="1"/>
  <c r="H299" i="1"/>
  <c r="H345" i="1"/>
  <c r="H301" i="1"/>
  <c r="H344" i="1"/>
  <c r="H300" i="1"/>
  <c r="H302" i="1"/>
  <c r="H347" i="1"/>
  <c r="H346" i="1"/>
  <c r="H349" i="1"/>
  <c r="H348" i="1"/>
  <c r="H335" i="1"/>
  <c r="H352" i="1"/>
  <c r="H351" i="1"/>
  <c r="H353" i="1"/>
  <c r="H350" i="1"/>
  <c r="H354" i="1"/>
  <c r="H81" i="1"/>
  <c r="H59" i="1"/>
  <c r="H80" i="1"/>
  <c r="H82" i="1"/>
  <c r="H58" i="1"/>
  <c r="H120" i="1"/>
  <c r="H121" i="1"/>
  <c r="H83" i="1"/>
  <c r="H119" i="1"/>
  <c r="H118" i="1"/>
  <c r="H124" i="1"/>
  <c r="H127" i="1"/>
  <c r="H126" i="1"/>
  <c r="H129" i="1"/>
  <c r="H125" i="1"/>
  <c r="H187" i="1"/>
  <c r="H186" i="1"/>
  <c r="H227" i="1"/>
  <c r="H228" i="1"/>
  <c r="H188" i="1"/>
  <c r="H189" i="1"/>
  <c r="H236" i="1"/>
  <c r="H235" i="1"/>
  <c r="H229" i="1"/>
  <c r="H190" i="1"/>
  <c r="H242" i="1"/>
  <c r="H245" i="1"/>
  <c r="H244" i="1"/>
  <c r="H243" i="1"/>
  <c r="H246" i="1"/>
  <c r="H303" i="1"/>
  <c r="H305" i="1"/>
  <c r="H320" i="1"/>
  <c r="H304" i="1"/>
  <c r="H306" i="1"/>
  <c r="H311" i="1"/>
  <c r="H308" i="1"/>
  <c r="H356" i="1"/>
  <c r="H309" i="1"/>
  <c r="H310" i="1"/>
  <c r="H336" i="1"/>
  <c r="H338" i="1"/>
  <c r="H339" i="1"/>
  <c r="H355" i="1"/>
  <c r="H337" i="1"/>
  <c r="H204" i="1"/>
  <c r="H224" i="1"/>
  <c r="H205" i="1"/>
  <c r="H208" i="1"/>
  <c r="H226" i="1"/>
  <c r="H209" i="1"/>
  <c r="H210" i="1"/>
  <c r="H232" i="1"/>
  <c r="H241" i="1"/>
  <c r="H240" i="1"/>
  <c r="H233" i="1"/>
  <c r="H247" i="1"/>
  <c r="H234" i="1"/>
  <c r="H206" i="1"/>
  <c r="H203" i="1"/>
  <c r="H488" i="1"/>
  <c r="H494" i="1"/>
  <c r="H492" i="1"/>
  <c r="H493" i="1"/>
  <c r="H489" i="1"/>
  <c r="H472" i="1"/>
  <c r="H469" i="1"/>
  <c r="H470" i="1"/>
  <c r="H471" i="1"/>
  <c r="H498" i="1"/>
  <c r="H499" i="1"/>
  <c r="H500" i="1"/>
  <c r="H503" i="1"/>
  <c r="H502" i="1"/>
  <c r="H501" i="1"/>
  <c r="H552" i="1"/>
  <c r="H610" i="1"/>
  <c r="H588" i="1"/>
  <c r="H551" i="1"/>
  <c r="H611" i="1"/>
  <c r="H572" i="1"/>
  <c r="H573" i="1"/>
  <c r="H586" i="1"/>
  <c r="H604" i="1"/>
  <c r="H598" i="1"/>
  <c r="H613" i="1"/>
  <c r="H599" i="1"/>
  <c r="H550" i="1"/>
  <c r="H587" i="1"/>
  <c r="H600" i="1"/>
  <c r="H137" i="1" l="1"/>
  <c r="H138" i="1"/>
  <c r="H112" i="1"/>
  <c r="H136" i="1"/>
  <c r="H139" i="1"/>
  <c r="H133" i="1"/>
  <c r="H134" i="1"/>
  <c r="H131" i="1"/>
  <c r="H132" i="1"/>
  <c r="H130" i="1"/>
  <c r="H135" i="1"/>
  <c r="H67" i="1"/>
  <c r="H111" i="1"/>
  <c r="H110" i="1"/>
  <c r="H109" i="1"/>
  <c r="H211" i="1"/>
  <c r="H213" i="1"/>
  <c r="H214" i="1"/>
  <c r="H212" i="1"/>
  <c r="H221" i="1"/>
  <c r="H157" i="1"/>
  <c r="H158" i="1"/>
  <c r="H159" i="1"/>
  <c r="H169" i="1"/>
  <c r="H164" i="1"/>
  <c r="H170" i="1"/>
  <c r="H166" i="1"/>
  <c r="H165" i="1"/>
  <c r="H160" i="1"/>
  <c r="H161" i="1"/>
  <c r="H294" i="1"/>
  <c r="H289" i="1"/>
  <c r="H278" i="1"/>
  <c r="H267" i="1"/>
  <c r="H288" i="1"/>
  <c r="H251" i="1"/>
  <c r="H265" i="1"/>
  <c r="H250" i="1"/>
  <c r="H252" i="1"/>
  <c r="H253" i="1"/>
  <c r="H264" i="1"/>
  <c r="H286" i="1"/>
  <c r="H266" i="1"/>
  <c r="H287" i="1"/>
  <c r="H254" i="1"/>
  <c r="H293" i="1"/>
  <c r="H318" i="1"/>
  <c r="H329" i="1"/>
  <c r="H340" i="1"/>
  <c r="H273" i="1"/>
  <c r="H275" i="1"/>
  <c r="H322" i="1"/>
  <c r="H272" i="1"/>
  <c r="H323" i="1"/>
  <c r="H325" i="1"/>
  <c r="H317" i="1"/>
  <c r="H324" i="1"/>
  <c r="H292" i="1"/>
  <c r="H326" i="1"/>
  <c r="H327" i="1"/>
</calcChain>
</file>

<file path=xl/sharedStrings.xml><?xml version="1.0" encoding="utf-8"?>
<sst xmlns="http://schemas.openxmlformats.org/spreadsheetml/2006/main" count="3688" uniqueCount="96">
  <si>
    <t>Average of LOE_TEMP_SENSOR</t>
  </si>
  <si>
    <t>POPULATION</t>
  </si>
  <si>
    <t>DEV_TEMP</t>
  </si>
  <si>
    <t>Arlington Reef</t>
  </si>
  <si>
    <t>Chauvel Reef/St. Bee's Island</t>
  </si>
  <si>
    <t>Cockermouth Island</t>
  </si>
  <si>
    <t>Russel Island</t>
  </si>
  <si>
    <t>St. Bee's Island</t>
  </si>
  <si>
    <t>(blank)</t>
  </si>
  <si>
    <t>Grand Total</t>
  </si>
  <si>
    <t>StdDev of LOE_mean_JMD</t>
  </si>
  <si>
    <t>REGION</t>
  </si>
  <si>
    <t>core</t>
  </si>
  <si>
    <t>leading</t>
  </si>
  <si>
    <t>Count of LOE_mean_JMD</t>
  </si>
  <si>
    <t>Average of LOE_mean_JMD</t>
  </si>
  <si>
    <t>CLUTCH_NUMBER</t>
  </si>
  <si>
    <t>MALE</t>
  </si>
  <si>
    <t>FEMALE</t>
  </si>
  <si>
    <t>DATE_OF_HATCH</t>
  </si>
  <si>
    <t>DATE_CTMAX</t>
  </si>
  <si>
    <t>AGE_DAYS</t>
  </si>
  <si>
    <t>TRAY_COL</t>
  </si>
  <si>
    <t>TANK</t>
  </si>
  <si>
    <t>REP</t>
  </si>
  <si>
    <t>EXP_TANK</t>
  </si>
  <si>
    <t>TRAY_ORD</t>
  </si>
  <si>
    <t>LENGTH</t>
  </si>
  <si>
    <t>MASS</t>
  </si>
  <si>
    <t>LOE_TIME</t>
  </si>
  <si>
    <t>LOE_mean_JMD</t>
  </si>
  <si>
    <t>LOE_TEMP_SENSOR</t>
  </si>
  <si>
    <t>LOE_TEMP_HOBO</t>
  </si>
  <si>
    <t>TEMP_DIFF</t>
  </si>
  <si>
    <t>LCKM159</t>
  </si>
  <si>
    <t>LCKM155</t>
  </si>
  <si>
    <t>blue</t>
  </si>
  <si>
    <t>white</t>
  </si>
  <si>
    <t>red</t>
  </si>
  <si>
    <t>CRUS426</t>
  </si>
  <si>
    <t>CRUS360</t>
  </si>
  <si>
    <t>LSBI028</t>
  </si>
  <si>
    <t>LSBI027</t>
  </si>
  <si>
    <t>LSBI023</t>
  </si>
  <si>
    <t>LCHA118</t>
  </si>
  <si>
    <t>LCKM164</t>
  </si>
  <si>
    <t>LCKM156</t>
  </si>
  <si>
    <t>LSBI034</t>
  </si>
  <si>
    <t>LCHA120</t>
  </si>
  <si>
    <t>CARL217</t>
  </si>
  <si>
    <t>CARL226</t>
  </si>
  <si>
    <t>EXPERIMENT</t>
  </si>
  <si>
    <t>RAMP_START_TIME</t>
  </si>
  <si>
    <t>SURVIVAL_TIME</t>
  </si>
  <si>
    <t>CSAT265</t>
  </si>
  <si>
    <t>CSAT264</t>
  </si>
  <si>
    <t>Satellite Reef</t>
  </si>
  <si>
    <t>CARL335</t>
  </si>
  <si>
    <t>CARL359</t>
  </si>
  <si>
    <t>CPRE521</t>
  </si>
  <si>
    <t>CPRE524</t>
  </si>
  <si>
    <t>Pretty Patches</t>
  </si>
  <si>
    <t>CARL369</t>
  </si>
  <si>
    <t>CARL349</t>
  </si>
  <si>
    <t>CARL338</t>
  </si>
  <si>
    <t>CARL345</t>
  </si>
  <si>
    <t>CPRE453</t>
  </si>
  <si>
    <t>CPRE459</t>
  </si>
  <si>
    <t>CPRE550</t>
  </si>
  <si>
    <t>CPRE533</t>
  </si>
  <si>
    <t>HOBO_OFFSET</t>
  </si>
  <si>
    <t>Used logger from tank 6, this HOBO logger did not start recordeding until 10:30PM instead of 10:30AM</t>
  </si>
  <si>
    <t>data was recorded every 5 seconds instead of every second, data for values between intervals of 5 were determined by adding the cloest intervals together and dividing by 2</t>
  </si>
  <si>
    <t>data was recorded every 5 seconds instead of every second, data for values between intervals of 5 were determined by adding the cloest intervals together and dividing by 3</t>
  </si>
  <si>
    <t>data was recorded every 5 seconds instead of every second, data for values between intervals of 5 were determined by adding the cloest intervals together and dividing by 4</t>
  </si>
  <si>
    <t>data was recorded every 5 seconds instead of every second, data for values between intervals of 5 were determined by adding the cloest intervals together and dividing by 5</t>
  </si>
  <si>
    <t>data was recorded every 5 seconds instead of every second, data for values between intervals of 5 were determined by adding the cloest intervals together and dividing by 6</t>
  </si>
  <si>
    <t>data was recorded every 5 seconds instead of every second, data for values between intervals of 5 were determined by adding the cloest intervals together and dividing by 7</t>
  </si>
  <si>
    <t>data was recorded every 5 seconds instead of every second, data for values between intervals of 5 were determined by adding the cloest intervals together and dividing by 8</t>
  </si>
  <si>
    <t>data was recorded every 5 seconds instead of every second, data for values between intervals of 5 were determined by adding the cloest intervals together and dividing by 9</t>
  </si>
  <si>
    <t>data was recorded every 5 seconds instead of every second, data for values between intervals of 5 were determined by adding the cloest intervals together and dividing by 10</t>
  </si>
  <si>
    <t>data was recorded every 5 seconds instead of every second, data for values between intervals of 5 were determined by adding the cloest intervals together and dividing by 11</t>
  </si>
  <si>
    <t>data was recorded every 5 seconds instead of every second, data for values between intervals of 5 were determined by adding the cloest intervals together and dividing by 12</t>
  </si>
  <si>
    <t>data was recorded every 5 seconds instead of every second, data for values between intervals of 5 were determined by adding the cloest intervals together and dividing by 13</t>
  </si>
  <si>
    <t>data was recorded every 5 seconds instead of every second, data for values between intervals of 5 were determined by adding the cloest intervals together and dividing by 14</t>
  </si>
  <si>
    <t>data was recorded every 5 seconds instead of every second, data for values between intervals of 5 were determined by adding the cloest intervals together and dividing by 15</t>
  </si>
  <si>
    <t>data was recorded every 5 seconds instead of every second, data for values between intervals of 5 were determined by adding the cloest intervals together and dividing by 16</t>
  </si>
  <si>
    <t>NOTES</t>
  </si>
  <si>
    <t>LOE_TEMP_HOBO_ACTUAL</t>
  </si>
  <si>
    <t>LOE_MEAN_EAS</t>
  </si>
  <si>
    <t>CTmax</t>
  </si>
  <si>
    <t>Resp</t>
  </si>
  <si>
    <t>Row Labels</t>
  </si>
  <si>
    <t>Column Labels</t>
  </si>
  <si>
    <t>Average of LOE_MEAN_EAS</t>
  </si>
  <si>
    <t>FIL_TEMP_DIFF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</si>
</sst>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[$-409]h:mm:ss\ AM/PM;@"/>
    <numFmt numFmtId="166" formatCode="0.0"/>
    <numFmt numFmtId="167" formatCode="0.000"/>
  </numFmts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DC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3" fillId="0" borderId="0" xfId="1" applyNumberFormat="1" applyFont="1" applyFill="1"/>
    <xf numFmtId="0" fontId="0" fillId="0" borderId="0" xfId="0" pivotButton="1"/>
    <xf numFmtId="2" fontId="0" fillId="3" borderId="0" xfId="0" applyNumberFormat="1" applyFill="1"/>
    <xf numFmtId="0" fontId="0" fillId="0" borderId="0" xfId="0" applyNumberFormat="1"/>
    <xf numFmtId="167" fontId="0" fillId="0" borderId="0" xfId="0" applyNumberFormat="1"/>
    <xf numFmtId="167" fontId="0" fillId="3" borderId="0" xfId="0" applyNumberFormat="1" applyFill="1"/>
    <xf numFmtId="167" fontId="0" fillId="4" borderId="0" xfId="0" applyNumberFormat="1" applyFill="1"/>
    <xf numFmtId="166" fontId="0" fillId="5" borderId="0" xfId="0" applyNumberFormat="1" applyFill="1"/>
    <xf numFmtId="0" fontId="0" fillId="0" borderId="0" xfId="0" applyBorder="1"/>
    <xf numFmtId="14" fontId="0" fillId="0" borderId="0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166" fontId="0" fillId="5" borderId="0" xfId="0" applyNumberFormat="1" applyFill="1" applyBorder="1"/>
    <xf numFmtId="167" fontId="0" fillId="0" borderId="0" xfId="0" applyNumberFormat="1" applyBorder="1"/>
    <xf numFmtId="167" fontId="0" fillId="4" borderId="0" xfId="0" applyNumberFormat="1" applyFill="1" applyBorder="1"/>
    <xf numFmtId="0" fontId="0" fillId="0" borderId="0" xfId="0" applyFill="1" applyBorder="1"/>
    <xf numFmtId="0" fontId="0" fillId="0" borderId="0" xfId="0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CDC8"/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[CTmax_data.xlsx]Sheet2!PivotTable1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36.97842857142858</c:v>
                </c:pt>
                <c:pt idx="1">
                  <c:v>37.149909090909098</c:v>
                </c:pt>
                <c:pt idx="2">
                  <c:v>37.35003571428571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07-4C27-8B3A-E50A72B92B5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36.969874999999995</c:v>
                </c:pt>
                <c:pt idx="1">
                  <c:v>37.036184210526315</c:v>
                </c:pt>
                <c:pt idx="2">
                  <c:v>37.194305084745778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07-4C27-8B3A-E50A72B9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538215"/>
        <c:axId val="52443480"/>
      </c:barChart>
      <c:catAx>
        <c:axId val="83153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3480"/>
        <c:crosses val="autoZero"/>
        <c:auto val="1"/>
        <c:lblAlgn val="ctr"/>
        <c:lblOffset val="100"/>
        <c:noMultiLvlLbl val="0"/>
      </c:catAx>
      <c:valAx>
        <c:axId val="524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53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[CTmax_data.xlsx]Sheet2!PivotTable1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</c:strCache>
            </c:strRef>
          </c:cat>
          <c:val>
            <c:numRef>
              <c:f>Sheet2!$B$5:$B$8</c:f>
              <c:numCache>
                <c:formatCode>General</c:formatCode>
                <c:ptCount val="3"/>
                <c:pt idx="0">
                  <c:v>36.97842857142858</c:v>
                </c:pt>
                <c:pt idx="1">
                  <c:v>37.149909090909098</c:v>
                </c:pt>
                <c:pt idx="2">
                  <c:v>37.35003571428571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9-463B-ADD9-5856D44C8D8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leading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Sheet2!$A$5:$A$8</c:f>
              <c:strCache>
                <c:ptCount val="3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</c:strCache>
            </c:strRef>
          </c:cat>
          <c:val>
            <c:numRef>
              <c:f>Sheet2!$C$5:$C$8</c:f>
              <c:numCache>
                <c:formatCode>General</c:formatCode>
                <c:ptCount val="3"/>
                <c:pt idx="0">
                  <c:v>36.969874999999995</c:v>
                </c:pt>
                <c:pt idx="1">
                  <c:v>37.036184210526315</c:v>
                </c:pt>
                <c:pt idx="2">
                  <c:v>37.194305084745778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19-463B-ADD9-5856D44C8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538215"/>
        <c:axId val="52443480"/>
      </c:barChart>
      <c:catAx>
        <c:axId val="831538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43480"/>
        <c:crosses val="autoZero"/>
        <c:auto val="1"/>
        <c:lblAlgn val="ctr"/>
        <c:lblOffset val="100"/>
        <c:noMultiLvlLbl val="0"/>
      </c:catAx>
      <c:valAx>
        <c:axId val="5244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538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[CTmax_data.xlsx]Sheet2 (2)!PivotTable1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'Sheet2 (2)'!$B$3:$B$4</c:f>
              <c:strCache>
                <c:ptCount val="1"/>
                <c:pt idx="0">
                  <c:v>Arlington Reef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(2)'!$B$5:$B$9</c:f>
              <c:numCache>
                <c:formatCode>General</c:formatCode>
                <c:ptCount val="4"/>
                <c:pt idx="0">
                  <c:v>36.94444444444445</c:v>
                </c:pt>
                <c:pt idx="1">
                  <c:v>37.183333333333337</c:v>
                </c:pt>
                <c:pt idx="2">
                  <c:v>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7-4738-BC2C-5FC0AA94EAF9}"/>
            </c:ext>
          </c:extLst>
        </c:ser>
        <c:ser>
          <c:idx val="1"/>
          <c:order val="1"/>
          <c:tx>
            <c:strRef>
              <c:f>'Sheet2 (2)'!$C$3:$C$4</c:f>
              <c:strCache>
                <c:ptCount val="1"/>
                <c:pt idx="0">
                  <c:v>Chauvel Reef/St. Bee's Island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(2)'!$C$5:$C$9</c:f>
              <c:numCache>
                <c:formatCode>General</c:formatCode>
                <c:ptCount val="4"/>
                <c:pt idx="0">
                  <c:v>36.921052631578938</c:v>
                </c:pt>
                <c:pt idx="1">
                  <c:v>36.905555555555551</c:v>
                </c:pt>
                <c:pt idx="2">
                  <c:v>37.217857142857156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07-4738-BC2C-5FC0AA94EAF9}"/>
            </c:ext>
          </c:extLst>
        </c:ser>
        <c:ser>
          <c:idx val="2"/>
          <c:order val="2"/>
          <c:tx>
            <c:strRef>
              <c:f>'Sheet2 (2)'!$D$3:$D$4</c:f>
              <c:strCache>
                <c:ptCount val="1"/>
                <c:pt idx="0">
                  <c:v>Cockermouth Island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(2)'!$D$5:$D$9</c:f>
              <c:numCache>
                <c:formatCode>General</c:formatCode>
                <c:ptCount val="4"/>
                <c:pt idx="0">
                  <c:v>36.9375</c:v>
                </c:pt>
                <c:pt idx="1">
                  <c:v>37.107142857142854</c:v>
                </c:pt>
                <c:pt idx="2">
                  <c:v>37.223913043478255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07-4738-BC2C-5FC0AA94EAF9}"/>
            </c:ext>
          </c:extLst>
        </c:ser>
        <c:ser>
          <c:idx val="3"/>
          <c:order val="3"/>
          <c:tx>
            <c:strRef>
              <c:f>'Sheet2 (2)'!$E$3:$E$4</c:f>
              <c:strCache>
                <c:ptCount val="1"/>
                <c:pt idx="0">
                  <c:v>Russel Island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(2)'!$E$5:$E$9</c:f>
              <c:numCache>
                <c:formatCode>General</c:formatCode>
                <c:ptCount val="4"/>
                <c:pt idx="0">
                  <c:v>37.010000000000005</c:v>
                </c:pt>
                <c:pt idx="1">
                  <c:v>37.059999999999995</c:v>
                </c:pt>
                <c:pt idx="2">
                  <c:v>37.300000000000004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07-4738-BC2C-5FC0AA94EAF9}"/>
            </c:ext>
          </c:extLst>
        </c:ser>
        <c:ser>
          <c:idx val="4"/>
          <c:order val="4"/>
          <c:tx>
            <c:strRef>
              <c:f>'Sheet2 (2)'!$F$3:$F$4</c:f>
              <c:strCache>
                <c:ptCount val="1"/>
                <c:pt idx="0">
                  <c:v>St. Bee's Island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(2)'!$F$5:$F$9</c:f>
              <c:numCache>
                <c:formatCode>General</c:formatCode>
                <c:ptCount val="4"/>
                <c:pt idx="0">
                  <c:v>36.942857142857136</c:v>
                </c:pt>
                <c:pt idx="1">
                  <c:v>36.971428571428568</c:v>
                </c:pt>
                <c:pt idx="2">
                  <c:v>37.112500000000004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07-4738-BC2C-5FC0AA94EAF9}"/>
            </c:ext>
          </c:extLst>
        </c:ser>
        <c:ser>
          <c:idx val="5"/>
          <c:order val="5"/>
          <c:tx>
            <c:strRef>
              <c:f>'Sheet2 (2)'!$G$3:$G$4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'Sheet2 (2)'!$A$5:$A$9</c:f>
              <c:strCache>
                <c:ptCount val="4"/>
                <c:pt idx="0">
                  <c:v>28.5</c:v>
                </c:pt>
                <c:pt idx="1">
                  <c:v>30</c:v>
                </c:pt>
                <c:pt idx="2">
                  <c:v>31.5</c:v>
                </c:pt>
                <c:pt idx="3">
                  <c:v>(blank)</c:v>
                </c:pt>
              </c:strCache>
            </c:strRef>
          </c:cat>
          <c:val>
            <c:numRef>
              <c:f>'Sheet2 (2)'!$G$5:$G$9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B-5807-4738-BC2C-5FC0AA94E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628328"/>
        <c:axId val="407053399"/>
      </c:barChart>
      <c:catAx>
        <c:axId val="1035628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053399"/>
        <c:crosses val="autoZero"/>
        <c:auto val="1"/>
        <c:lblAlgn val="ctr"/>
        <c:lblOffset val="100"/>
        <c:noMultiLvlLbl val="0"/>
      </c:catAx>
      <c:valAx>
        <c:axId val="40705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62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[CTmax_data.xlsx]Sheet3!PivotTable2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28.5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36.880564850000013</c:v>
                </c:pt>
                <c:pt idx="1">
                  <c:v>36.890138578947365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D-4462-A4C7-1668960436A1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37.030437836538475</c:v>
                </c:pt>
                <c:pt idx="1">
                  <c:v>37.000419148936182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DD-4462-A4C7-1668960436A1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31.5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core</c:v>
                </c:pt>
                <c:pt idx="1">
                  <c:v>leading</c:v>
                </c:pt>
              </c:strCache>
            </c:strRef>
          </c:cat>
          <c:val>
            <c:numRef>
              <c:f>Sheet3!$D$5:$D$7</c:f>
              <c:numCache>
                <c:formatCode>General</c:formatCode>
                <c:ptCount val="2"/>
                <c:pt idx="0">
                  <c:v>37.177579292929295</c:v>
                </c:pt>
                <c:pt idx="1">
                  <c:v>37.113927684210552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D-4462-A4C7-166896043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375615"/>
        <c:axId val="1154220623"/>
      </c:barChart>
      <c:catAx>
        <c:axId val="845375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220623"/>
        <c:crosses val="autoZero"/>
        <c:auto val="1"/>
        <c:lblAlgn val="ctr"/>
        <c:lblOffset val="100"/>
        <c:noMultiLvlLbl val="0"/>
      </c:catAx>
      <c:valAx>
        <c:axId val="115422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7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9525</xdr:rowOff>
    </xdr:from>
    <xdr:to>
      <xdr:col>15</xdr:col>
      <xdr:colOff>133350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20F08-E45B-9421-DFC0-BA5A26A57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19</xdr:row>
      <xdr:rowOff>95250</xdr:rowOff>
    </xdr:from>
    <xdr:to>
      <xdr:col>11</xdr:col>
      <xdr:colOff>120650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7621D-6A7A-47E6-A816-7E209FA5C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0</xdr:row>
      <xdr:rowOff>180975</xdr:rowOff>
    </xdr:from>
    <xdr:to>
      <xdr:col>11</xdr:col>
      <xdr:colOff>76200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D89081-E050-6FB1-EF2E-5543F12EE63D}"/>
            </a:ext>
            <a:ext uri="{147F2762-F138-4A5C-976F-8EAC2B608ADB}">
              <a16:predDERef xmlns:a16="http://schemas.microsoft.com/office/drawing/2014/main" pred="{8197621D-6A7A-47E6-A816-7E209FA5C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1</xdr:row>
      <xdr:rowOff>87312</xdr:rowOff>
    </xdr:from>
    <xdr:to>
      <xdr:col>14</xdr:col>
      <xdr:colOff>390525</xdr:colOff>
      <xdr:row>16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779A91-ECF0-60FF-079E-CF2ED2C51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089.669609259261" createdVersion="8" refreshedVersion="8" minRefreshableVersion="3" recordCount="241" xr:uid="{2BBA57D9-20D0-491C-8522-359EDF1B613E}">
  <cacheSource type="worksheet">
    <worksheetSource ref="A1:V1048576" sheet="Sheet1"/>
  </cacheSource>
  <cacheFields count="21">
    <cacheField name="CLUTCH_NUMBER" numFmtId="0">
      <sharedItems containsString="0" containsBlank="1" containsNumber="1" containsInteger="1" minValue="56" maxValue="89"/>
    </cacheField>
    <cacheField name="MALE" numFmtId="0">
      <sharedItems containsBlank="1"/>
    </cacheField>
    <cacheField name="FEMALE" numFmtId="0">
      <sharedItems containsBlank="1"/>
    </cacheField>
    <cacheField name="REGION" numFmtId="0">
      <sharedItems containsBlank="1" count="3">
        <s v="leading"/>
        <s v="core"/>
        <m/>
      </sharedItems>
    </cacheField>
    <cacheField name="POPULATION" numFmtId="0">
      <sharedItems containsBlank="1" count="6">
        <s v="Cockermouth Island"/>
        <s v="Chauvel Reef/St. Bee's Island"/>
        <s v="Russel Island"/>
        <s v="St. Bee's Island"/>
        <s v="Arlington Reef"/>
        <m/>
      </sharedItems>
    </cacheField>
    <cacheField name="DATE_OF_HATCH" numFmtId="0">
      <sharedItems containsNonDate="0" containsDate="1" containsString="0" containsBlank="1" minDate="2023-01-12T00:00:00" maxDate="2023-02-17T00:00:00"/>
    </cacheField>
    <cacheField name="DATE_CTMAX" numFmtId="0">
      <sharedItems containsNonDate="0" containsDate="1" containsString="0" containsBlank="1" minDate="2023-06-01T00:00:00" maxDate="2023-06-10T00:00:00"/>
    </cacheField>
    <cacheField name="AGE_DAYS" numFmtId="0">
      <sharedItems containsString="0" containsBlank="1" containsNumber="1" containsInteger="1" minValue="110" maxValue="145"/>
    </cacheField>
    <cacheField name="TRAY_COL" numFmtId="0">
      <sharedItems containsBlank="1"/>
    </cacheField>
    <cacheField name="DEV_TEMP" numFmtId="0">
      <sharedItems containsString="0" containsBlank="1" containsNumber="1" minValue="28.5" maxValue="31.5" count="4">
        <n v="28.5"/>
        <n v="30"/>
        <n v="31.5"/>
        <m/>
      </sharedItems>
    </cacheField>
    <cacheField name="TANK" numFmtId="0">
      <sharedItems containsString="0" containsBlank="1" containsNumber="1" containsInteger="1" minValue="125" maxValue="357"/>
    </cacheField>
    <cacheField name="REP" numFmtId="0">
      <sharedItems containsString="0" containsBlank="1" containsNumber="1" containsInteger="1" minValue="1" maxValue="2"/>
    </cacheField>
    <cacheField name="EXP_TANK" numFmtId="0">
      <sharedItems containsString="0" containsBlank="1" containsNumber="1" containsInteger="1" minValue="1" maxValue="6"/>
    </cacheField>
    <cacheField name="TRAY_ORD" numFmtId="0">
      <sharedItems containsString="0" containsBlank="1" containsNumber="1" containsInteger="1" minValue="1" maxValue="5"/>
    </cacheField>
    <cacheField name="LENGTH" numFmtId="2">
      <sharedItems containsBlank="1" containsMixedTypes="1" containsNumber="1" minValue="20.62" maxValue="42.88"/>
    </cacheField>
    <cacheField name="MASS" numFmtId="164">
      <sharedItems containsBlank="1" containsMixedTypes="1" containsNumber="1" minValue="0.184" maxValue="2.6554000000000002"/>
    </cacheField>
    <cacheField name="LOE_TIME" numFmtId="165">
      <sharedItems containsDate="1" containsBlank="1" containsMixedTypes="1" minDate="1899-12-30T16:49:00" maxDate="1899-12-30T19:01:00"/>
    </cacheField>
    <cacheField name="LOE_mean_JMD" numFmtId="0">
      <sharedItems containsString="0" containsBlank="1" containsNumber="1" minValue="36.6" maxValue="37.6"/>
    </cacheField>
    <cacheField name="LOE_TEMP_SENSOR" numFmtId="2">
      <sharedItems containsBlank="1" containsMixedTypes="1" containsNumber="1" minValue="36.6" maxValue="37.6"/>
    </cacheField>
    <cacheField name="LOE_TEMP_HOBO" numFmtId="0">
      <sharedItems containsBlank="1" containsMixedTypes="1" containsNumber="1" minValue="36.741999999999997" maxValue="37.398000000000003"/>
    </cacheField>
    <cacheField name="TEMP_DIFF" numFmtId="0">
      <sharedItems containsString="0" containsBlank="1" containsNumber="1" minValue="-0.51999999999999602" maxValue="3.000000000000113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ott Schmidt" refreshedDate="45139.513916666663" createdVersion="8" refreshedVersion="8" minRefreshableVersion="3" recordCount="587" xr:uid="{2B498AD1-969B-40AB-854F-8B7533B6587D}">
  <cacheSource type="worksheet">
    <worksheetSource ref="A1:AA588" sheet="Sheet1"/>
  </cacheSource>
  <cacheFields count="27">
    <cacheField name="CLUTCH_NUMBER" numFmtId="0">
      <sharedItems containsSemiMixedTypes="0" containsString="0" containsNumber="1" containsInteger="1" minValue="56" maxValue="120"/>
    </cacheField>
    <cacheField name="MALE" numFmtId="0">
      <sharedItems/>
    </cacheField>
    <cacheField name="FEMALE" numFmtId="0">
      <sharedItems/>
    </cacheField>
    <cacheField name="REGION" numFmtId="0">
      <sharedItems count="2">
        <s v="core"/>
        <s v="leading"/>
      </sharedItems>
    </cacheField>
    <cacheField name="POPULATION" numFmtId="0">
      <sharedItems/>
    </cacheField>
    <cacheField name="DATE_OF_HATCH" numFmtId="14">
      <sharedItems containsSemiMixedTypes="0" containsNonDate="0" containsDate="1" containsString="0" minDate="2023-01-12T00:00:00" maxDate="2023-03-22T00:00:00"/>
    </cacheField>
    <cacheField name="DATE_CTMAX" numFmtId="14">
      <sharedItems containsSemiMixedTypes="0" containsNonDate="0" containsDate="1" containsString="0" minDate="2023-06-01T00:00:00" maxDate="2023-07-15T00:00:00"/>
    </cacheField>
    <cacheField name="AGE_DAYS" numFmtId="0">
      <sharedItems containsSemiMixedTypes="0" containsString="0" containsNumber="1" containsInteger="1" minValue="108" maxValue="145"/>
    </cacheField>
    <cacheField name="TRAY_COL" numFmtId="0">
      <sharedItems/>
    </cacheField>
    <cacheField name="DEV_TEMP" numFmtId="0">
      <sharedItems containsSemiMixedTypes="0" containsString="0" containsNumber="1" minValue="28.5" maxValue="31.5" count="3">
        <n v="28.5"/>
        <n v="30"/>
        <n v="31.5"/>
      </sharedItems>
    </cacheField>
    <cacheField name="TANK" numFmtId="0">
      <sharedItems containsSemiMixedTypes="0" containsString="0" containsNumber="1" containsInteger="1" minValue="123" maxValue="360"/>
    </cacheField>
    <cacheField name="REP" numFmtId="0">
      <sharedItems containsSemiMixedTypes="0" containsString="0" containsNumber="1" containsInteger="1" minValue="1" maxValue="2"/>
    </cacheField>
    <cacheField name="EXP_TANK" numFmtId="0">
      <sharedItems containsMixedTypes="1" containsNumber="1" containsInteger="1" minValue="1" maxValue="6"/>
    </cacheField>
    <cacheField name="TRAY_ORD" numFmtId="0">
      <sharedItems containsMixedTypes="1" containsNumber="1" containsInteger="1" minValue="1" maxValue="5"/>
    </cacheField>
    <cacheField name="LENGTH" numFmtId="2">
      <sharedItems containsSemiMixedTypes="0" containsString="0" containsNumber="1" minValue="20.62" maxValue="45.93"/>
    </cacheField>
    <cacheField name="MASS" numFmtId="164">
      <sharedItems containsSemiMixedTypes="0" containsString="0" containsNumber="1" minValue="0.184" maxValue="4.6508000000000003"/>
    </cacheField>
    <cacheField name="RAMP_START_TIME" numFmtId="165">
      <sharedItems containsSemiMixedTypes="0" containsNonDate="0" containsDate="1" containsString="0" minDate="1899-12-30T10:33:39" maxDate="1899-12-30T13:18:00"/>
    </cacheField>
    <cacheField name="LOE_TIME" numFmtId="165">
      <sharedItems containsDate="1" containsBlank="1" containsMixedTypes="1" minDate="1899-12-30T16:49:00" maxDate="1899-12-30T19:36:00"/>
    </cacheField>
    <cacheField name="LOE_mean_JMD" numFmtId="0">
      <sharedItems containsBlank="1" containsMixedTypes="1" containsNumber="1" minValue="36.6" maxValue="37.6"/>
    </cacheField>
    <cacheField name="LOE_TEMP_SENSOR" numFmtId="166">
      <sharedItems containsBlank="1" containsMixedTypes="1" containsNumber="1" minValue="36.5" maxValue="37.6"/>
    </cacheField>
    <cacheField name="LOE_TEMP_HOBO" numFmtId="167">
      <sharedItems containsMixedTypes="1" containsNumber="1" minValue="36.524999999999999" maxValue="37.590000000000003"/>
    </cacheField>
    <cacheField name="TEMP_DIFF" numFmtId="0">
      <sharedItems containsBlank="1" containsMixedTypes="1" containsNumber="1" minValue="-0.20400000000000063" maxValue="0.51999999999999602"/>
    </cacheField>
    <cacheField name="SURVIVAL_TIME" numFmtId="0">
      <sharedItems/>
    </cacheField>
    <cacheField name="HOBO_OFFSET" numFmtId="167">
      <sharedItems containsMixedTypes="1" containsNumber="1" minValue="-2.92E-2" maxValue="0.124"/>
    </cacheField>
    <cacheField name="LOE_TEMP_HOBO_ACTUAL" numFmtId="167">
      <sharedItems containsBlank="1" containsMixedTypes="1" containsNumber="1" minValue="36.464999999999996" maxValue="37.487000000000002"/>
    </cacheField>
    <cacheField name="FINAL_TEMP_DIFF" numFmtId="167">
      <sharedItems containsBlank="1" containsMixedTypes="1" containsNumber="1" minValue="-0.22200000000000131" maxValue="0.44314999999999571"/>
    </cacheField>
    <cacheField name="LOE_MEAN_EAS" numFmtId="167">
      <sharedItems containsSemiMixedTypes="0" containsString="0" containsNumber="1" minValue="34.9" maxValue="37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60"/>
    <s v="LCKM159"/>
    <s v="LCKM155"/>
    <x v="0"/>
    <x v="0"/>
    <d v="2023-01-17T00:00:00"/>
    <d v="2023-06-09T00:00:00"/>
    <n v="143"/>
    <s v="blue"/>
    <x v="0"/>
    <n v="142"/>
    <n v="1"/>
    <n v="1"/>
    <n v="1"/>
    <n v="33.380000000000003"/>
    <n v="1.3945000000000001"/>
    <d v="1899-12-30T17:20:00"/>
    <n v="36.748000000000005"/>
    <n v="36.700000000000003"/>
    <n v="36.795999999999999"/>
    <n v="-9.5999999999996533E-2"/>
  </r>
  <r>
    <n v="60"/>
    <s v="LCKM159"/>
    <s v="LCKM155"/>
    <x v="0"/>
    <x v="0"/>
    <d v="2023-01-17T00:00:00"/>
    <d v="2023-06-09T00:00:00"/>
    <n v="143"/>
    <s v="blue"/>
    <x v="0"/>
    <n v="142"/>
    <n v="1"/>
    <n v="1"/>
    <n v="4"/>
    <n v="27.36"/>
    <n v="0.749"/>
    <d v="1899-12-30T17:20:00"/>
    <n v="36.748000000000005"/>
    <n v="36.700000000000003"/>
    <n v="36.795999999999999"/>
    <n v="-9.5999999999996533E-2"/>
  </r>
  <r>
    <n v="60"/>
    <s v="LCKM159"/>
    <s v="LCKM155"/>
    <x v="0"/>
    <x v="0"/>
    <d v="2023-01-17T00:00:00"/>
    <d v="2023-06-09T00:00:00"/>
    <n v="143"/>
    <s v="blue"/>
    <x v="0"/>
    <n v="142"/>
    <n v="1"/>
    <n v="1"/>
    <n v="2"/>
    <n v="33.57"/>
    <n v="1.4182999999999999"/>
    <d v="1899-12-30T17:25:00"/>
    <n v="36.814"/>
    <n v="36.75"/>
    <n v="36.878"/>
    <n v="-0.12800000000000011"/>
  </r>
  <r>
    <n v="60"/>
    <s v="LCKM159"/>
    <s v="LCKM155"/>
    <x v="0"/>
    <x v="0"/>
    <d v="2023-01-17T00:00:00"/>
    <d v="2023-06-09T00:00:00"/>
    <n v="143"/>
    <s v="blue"/>
    <x v="0"/>
    <n v="142"/>
    <n v="1"/>
    <n v="1"/>
    <n v="3"/>
    <n v="31.77"/>
    <n v="1.2907"/>
    <d v="1899-12-30T17:25:00"/>
    <n v="36.814"/>
    <n v="36.75"/>
    <n v="36.878"/>
    <n v="-0.12800000000000011"/>
  </r>
  <r>
    <n v="60"/>
    <s v="LCKM159"/>
    <s v="LCKM155"/>
    <x v="0"/>
    <x v="0"/>
    <d v="2023-01-17T00:00:00"/>
    <d v="2023-06-09T00:00:00"/>
    <n v="143"/>
    <s v="blue"/>
    <x v="0"/>
    <n v="142"/>
    <n v="1"/>
    <n v="1"/>
    <n v="5"/>
    <n v="28.84"/>
    <n v="0.99"/>
    <d v="1899-12-30T17:25:00"/>
    <n v="36.814"/>
    <n v="36.75"/>
    <n v="36.878"/>
    <n v="-0.12800000000000011"/>
  </r>
  <r>
    <n v="60"/>
    <s v="LCKM159"/>
    <s v="LCKM155"/>
    <x v="0"/>
    <x v="0"/>
    <d v="2023-01-17T00:00:00"/>
    <d v="2023-06-09T00:00:00"/>
    <n v="143"/>
    <s v="white"/>
    <x v="1"/>
    <n v="152"/>
    <n v="2"/>
    <n v="1"/>
    <n v="2"/>
    <n v="33.520000000000003"/>
    <n v="1.5706"/>
    <d v="1899-12-30T17:28:00"/>
    <n v="36.916499999999999"/>
    <n v="36.9"/>
    <n v="36.933"/>
    <n v="-3.3000000000001251E-2"/>
  </r>
  <r>
    <n v="60"/>
    <s v="LCKM159"/>
    <s v="LCKM155"/>
    <x v="0"/>
    <x v="0"/>
    <d v="2023-01-17T00:00:00"/>
    <d v="2023-06-09T00:00:00"/>
    <n v="143"/>
    <s v="red"/>
    <x v="2"/>
    <n v="128"/>
    <n v="2"/>
    <n v="1"/>
    <n v="4"/>
    <n v="28.33"/>
    <n v="0.85760000000000003"/>
    <d v="1899-12-30T17:32:00"/>
    <n v="36.9435"/>
    <n v="36.9"/>
    <n v="36.987000000000002"/>
    <n v="-8.7000000000003297E-2"/>
  </r>
  <r>
    <n v="60"/>
    <s v="LCKM159"/>
    <s v="LCKM155"/>
    <x v="0"/>
    <x v="0"/>
    <d v="2023-01-17T00:00:00"/>
    <d v="2023-06-09T00:00:00"/>
    <n v="143"/>
    <s v="white"/>
    <x v="1"/>
    <n v="152"/>
    <n v="2"/>
    <n v="1"/>
    <n v="5"/>
    <n v="35.520000000000003"/>
    <n v="1.7184999999999999"/>
    <d v="1899-12-30T17:34:00"/>
    <n v="36.957499999999996"/>
    <n v="36.9"/>
    <n v="37.015000000000001"/>
    <n v="-0.11500000000000199"/>
  </r>
  <r>
    <n v="60"/>
    <s v="LCKM159"/>
    <s v="LCKM155"/>
    <x v="0"/>
    <x v="0"/>
    <d v="2023-01-17T00:00:00"/>
    <d v="2023-06-09T00:00:00"/>
    <n v="143"/>
    <s v="red"/>
    <x v="2"/>
    <n v="128"/>
    <n v="2"/>
    <n v="1"/>
    <n v="1"/>
    <n v="29.46"/>
    <n v="1.0839000000000001"/>
    <d v="1899-12-30T17:34:00"/>
    <n v="36.957499999999996"/>
    <n v="36.9"/>
    <n v="37.015000000000001"/>
    <n v="-0.11500000000000199"/>
  </r>
  <r>
    <n v="60"/>
    <s v="LCKM159"/>
    <s v="LCKM155"/>
    <x v="0"/>
    <x v="0"/>
    <d v="2023-01-17T00:00:00"/>
    <d v="2023-06-09T00:00:00"/>
    <n v="143"/>
    <s v="white"/>
    <x v="1"/>
    <n v="152"/>
    <n v="2"/>
    <n v="1"/>
    <n v="3"/>
    <n v="34.06"/>
    <n v="1.5832999999999999"/>
    <d v="1899-12-30T17:37:00"/>
    <n v="37.034500000000001"/>
    <n v="37"/>
    <n v="37.069000000000003"/>
    <n v="-6.9000000000002615E-2"/>
  </r>
  <r>
    <n v="60"/>
    <s v="LCKM159"/>
    <s v="LCKM155"/>
    <x v="0"/>
    <x v="0"/>
    <d v="2023-01-17T00:00:00"/>
    <d v="2023-06-09T00:00:00"/>
    <n v="143"/>
    <s v="white"/>
    <x v="1"/>
    <n v="152"/>
    <n v="2"/>
    <n v="1"/>
    <n v="1"/>
    <n v="32.65"/>
    <n v="1.4182999999999999"/>
    <d v="1899-12-30T17:39:00"/>
    <n v="37.097999999999999"/>
    <n v="37.1"/>
    <n v="37.095999999999997"/>
    <n v="4.0000000000048885E-3"/>
  </r>
  <r>
    <n v="60"/>
    <s v="LCKM159"/>
    <s v="LCKM155"/>
    <x v="0"/>
    <x v="0"/>
    <d v="2023-01-17T00:00:00"/>
    <d v="2023-06-09T00:00:00"/>
    <n v="143"/>
    <s v="white"/>
    <x v="1"/>
    <n v="152"/>
    <n v="2"/>
    <n v="1"/>
    <n v="4"/>
    <n v="39.17"/>
    <n v="2.3944000000000001"/>
    <d v="1899-12-30T17:39:00"/>
    <n v="37.072999999999993"/>
    <n v="37.049999999999997"/>
    <n v="37.095999999999997"/>
    <n v="-4.5999999999999375E-2"/>
  </r>
  <r>
    <n v="60"/>
    <s v="LCKM159"/>
    <s v="LCKM155"/>
    <x v="0"/>
    <x v="0"/>
    <d v="2023-01-17T00:00:00"/>
    <d v="2023-06-09T00:00:00"/>
    <n v="143"/>
    <s v="red"/>
    <x v="2"/>
    <n v="128"/>
    <n v="2"/>
    <n v="1"/>
    <n v="5"/>
    <n v="29.72"/>
    <n v="1.0728"/>
    <d v="1899-12-30T17:39:00"/>
    <n v="37.097999999999999"/>
    <n v="37.1"/>
    <n v="37.095999999999997"/>
    <n v="4.0000000000048885E-3"/>
  </r>
  <r>
    <n v="60"/>
    <s v="LCKM159"/>
    <s v="LCKM155"/>
    <x v="0"/>
    <x v="0"/>
    <d v="2023-01-17T00:00:00"/>
    <d v="2023-06-09T00:00:00"/>
    <n v="143"/>
    <s v="red"/>
    <x v="2"/>
    <n v="128"/>
    <n v="2"/>
    <n v="1"/>
    <n v="2"/>
    <n v="36.85"/>
    <n v="2.1991000000000001"/>
    <d v="1899-12-30T17:42:00"/>
    <n v="37.112000000000002"/>
    <n v="37.1"/>
    <n v="37.124000000000002"/>
    <n v="-2.4000000000000909E-2"/>
  </r>
  <r>
    <n v="60"/>
    <s v="LCKM159"/>
    <s v="LCKM155"/>
    <x v="0"/>
    <x v="0"/>
    <d v="2023-01-17T00:00:00"/>
    <d v="2023-06-09T00:00:00"/>
    <n v="143"/>
    <s v="red"/>
    <x v="2"/>
    <n v="128"/>
    <n v="2"/>
    <n v="1"/>
    <n v="3"/>
    <n v="29.37"/>
    <n v="0.99529999999999996"/>
    <d v="1899-12-30T17:46:00"/>
    <n v="37.164000000000001"/>
    <n v="37.15"/>
    <n v="37.177999999999997"/>
    <n v="-2.7999999999998693E-2"/>
  </r>
  <r>
    <n v="89"/>
    <s v="LCKM159"/>
    <s v="LCKM155"/>
    <x v="0"/>
    <x v="0"/>
    <d v="2023-02-10T00:00:00"/>
    <d v="2023-06-06T00:00:00"/>
    <n v="116"/>
    <s v="blue"/>
    <x v="0"/>
    <n v="246"/>
    <n v="1"/>
    <n v="1"/>
    <n v="1"/>
    <n v="27.12"/>
    <n v="0.87150000000000005"/>
    <d v="1899-12-30T17:02:00"/>
    <n v="36.93"/>
    <n v="36.9"/>
    <n v="36.96"/>
    <n v="-6.0000000000002274E-2"/>
  </r>
  <r>
    <n v="89"/>
    <s v="LCKM159"/>
    <s v="LCKM155"/>
    <x v="0"/>
    <x v="0"/>
    <d v="2023-02-10T00:00:00"/>
    <d v="2023-06-06T00:00:00"/>
    <n v="116"/>
    <s v="blue"/>
    <x v="0"/>
    <n v="246"/>
    <n v="1"/>
    <n v="1"/>
    <n v="4"/>
    <n v="24.45"/>
    <n v="0.58830000000000005"/>
    <d v="1899-12-30T17:02:00"/>
    <n v="36.93"/>
    <n v="36.9"/>
    <n v="36.96"/>
    <n v="-6.0000000000002274E-2"/>
  </r>
  <r>
    <n v="89"/>
    <s v="LCKM159"/>
    <s v="LCKM155"/>
    <x v="0"/>
    <x v="0"/>
    <d v="2023-02-10T00:00:00"/>
    <d v="2023-06-06T00:00:00"/>
    <n v="116"/>
    <s v="blue"/>
    <x v="0"/>
    <n v="246"/>
    <n v="1"/>
    <n v="1"/>
    <n v="2"/>
    <n v="23.25"/>
    <n v="0.53310000000000002"/>
    <d v="1899-12-30T17:04:00"/>
    <n v="36.9435"/>
    <n v="36.9"/>
    <n v="36.987000000000002"/>
    <n v="-8.7000000000003297E-2"/>
  </r>
  <r>
    <n v="89"/>
    <s v="LCKM159"/>
    <s v="LCKM155"/>
    <x v="0"/>
    <x v="0"/>
    <d v="2023-02-10T00:00:00"/>
    <d v="2023-06-06T00:00:00"/>
    <n v="116"/>
    <s v="red"/>
    <x v="2"/>
    <n v="257"/>
    <n v="1"/>
    <n v="1"/>
    <n v="2"/>
    <n v="28.86"/>
    <n v="1.0982000000000001"/>
    <d v="1899-12-30T17:08:00"/>
    <n v="37.069000000000003"/>
    <m/>
    <n v="37.069000000000003"/>
    <m/>
  </r>
  <r>
    <n v="89"/>
    <s v="LCKM159"/>
    <s v="LCKM155"/>
    <x v="0"/>
    <x v="0"/>
    <d v="2023-02-10T00:00:00"/>
    <d v="2023-06-06T00:00:00"/>
    <n v="116"/>
    <s v="white"/>
    <x v="1"/>
    <n v="350"/>
    <n v="1"/>
    <n v="1"/>
    <n v="4"/>
    <n v="32.270000000000003"/>
    <n v="1.3320000000000001"/>
    <d v="1899-12-30T17:08:00"/>
    <n v="37.069000000000003"/>
    <m/>
    <n v="37.069000000000003"/>
    <m/>
  </r>
  <r>
    <n v="89"/>
    <s v="LCKM159"/>
    <s v="LCKM155"/>
    <x v="0"/>
    <x v="0"/>
    <d v="2023-02-10T00:00:00"/>
    <d v="2023-06-06T00:00:00"/>
    <n v="116"/>
    <s v="red"/>
    <x v="2"/>
    <n v="257"/>
    <n v="1"/>
    <n v="1"/>
    <n v="3"/>
    <n v="30.86"/>
    <n v="1.2609999999999999"/>
    <d v="1899-12-30T17:14:00"/>
    <n v="37.206000000000003"/>
    <m/>
    <n v="37.206000000000003"/>
    <m/>
  </r>
  <r>
    <n v="89"/>
    <s v="LCKM159"/>
    <s v="LCKM155"/>
    <x v="0"/>
    <x v="0"/>
    <d v="2023-02-10T00:00:00"/>
    <d v="2023-06-06T00:00:00"/>
    <n v="116"/>
    <s v="white"/>
    <x v="1"/>
    <n v="350"/>
    <n v="1"/>
    <n v="1"/>
    <n v="2"/>
    <n v="30.07"/>
    <n v="1.0707"/>
    <d v="1899-12-30T17:14:00"/>
    <n v="37.206000000000003"/>
    <m/>
    <n v="37.206000000000003"/>
    <m/>
  </r>
  <r>
    <n v="89"/>
    <s v="LCKM159"/>
    <s v="LCKM155"/>
    <x v="0"/>
    <x v="0"/>
    <d v="2023-02-10T00:00:00"/>
    <d v="2023-06-06T00:00:00"/>
    <n v="116"/>
    <s v="red"/>
    <x v="2"/>
    <n v="257"/>
    <n v="1"/>
    <n v="1"/>
    <n v="1"/>
    <n v="31.92"/>
    <n v="1.3905000000000001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blue"/>
    <x v="0"/>
    <n v="246"/>
    <n v="1"/>
    <n v="1"/>
    <n v="3"/>
    <n v="28.84"/>
    <n v="0.97199999999999998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blue"/>
    <x v="0"/>
    <n v="246"/>
    <n v="1"/>
    <n v="1"/>
    <n v="5"/>
    <n v="23.17"/>
    <n v="2.2183000000000002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white"/>
    <x v="1"/>
    <n v="350"/>
    <n v="1"/>
    <n v="1"/>
    <n v="1"/>
    <n v="30.31"/>
    <n v="1.1155999999999999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white"/>
    <x v="1"/>
    <n v="350"/>
    <n v="1"/>
    <n v="1"/>
    <n v="3"/>
    <n v="28.86"/>
    <n v="0.97709999999999997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white"/>
    <x v="1"/>
    <n v="350"/>
    <n v="1"/>
    <n v="1"/>
    <n v="5"/>
    <n v="33.83"/>
    <n v="1.5087999999999999"/>
    <d v="1899-12-30T17:18:00"/>
    <n v="37.232999999999997"/>
    <m/>
    <n v="37.232999999999997"/>
    <m/>
  </r>
  <r>
    <n v="89"/>
    <s v="LCKM159"/>
    <s v="LCKM155"/>
    <x v="0"/>
    <x v="0"/>
    <d v="2023-02-10T00:00:00"/>
    <d v="2023-06-06T00:00:00"/>
    <n v="116"/>
    <s v="red"/>
    <x v="2"/>
    <n v="257"/>
    <n v="1"/>
    <n v="1"/>
    <n v="4"/>
    <n v="32.22"/>
    <n v="1.4919"/>
    <d v="1899-12-30T17:20:00"/>
    <n v="37.287999999999997"/>
    <m/>
    <n v="37.287999999999997"/>
    <m/>
  </r>
  <r>
    <n v="89"/>
    <s v="LCKM159"/>
    <s v="LCKM155"/>
    <x v="0"/>
    <x v="0"/>
    <d v="2023-02-10T00:00:00"/>
    <d v="2023-06-06T00:00:00"/>
    <n v="116"/>
    <s v="red"/>
    <x v="2"/>
    <n v="257"/>
    <n v="1"/>
    <n v="1"/>
    <n v="5"/>
    <n v="37.979999999999997"/>
    <n v="2.4098999999999999"/>
    <d v="1899-12-30T17:23:00"/>
    <n v="37.3215"/>
    <n v="37.299999999999997"/>
    <n v="37.343000000000004"/>
    <n v="-4.3000000000006366E-2"/>
  </r>
  <r>
    <n v="74"/>
    <s v="LSBI023"/>
    <s v="LCHA118"/>
    <x v="0"/>
    <x v="1"/>
    <d v="2023-02-01T00:00:00"/>
    <d v="2023-06-01T00:00:00"/>
    <n v="120"/>
    <s v="red"/>
    <x v="0"/>
    <n v="241"/>
    <n v="1"/>
    <n v="1"/>
    <n v="5"/>
    <n v="32.14"/>
    <n v="1.2015"/>
    <d v="1899-12-30T18:22:00"/>
    <n v="37"/>
    <n v="37"/>
    <s v="na"/>
    <m/>
  </r>
  <r>
    <n v="74"/>
    <s v="LSBI023"/>
    <s v="LCHA118"/>
    <x v="0"/>
    <x v="1"/>
    <d v="2023-02-01T00:00:00"/>
    <d v="2023-06-01T00:00:00"/>
    <n v="120"/>
    <s v="white"/>
    <x v="1"/>
    <n v="230"/>
    <n v="1"/>
    <n v="1"/>
    <n v="3"/>
    <n v="33.22"/>
    <n v="1.3889"/>
    <d v="1899-12-30T18:22:00"/>
    <n v="37"/>
    <n v="37"/>
    <s v="na"/>
    <m/>
  </r>
  <r>
    <n v="74"/>
    <s v="LSBI023"/>
    <s v="LCHA118"/>
    <x v="0"/>
    <x v="1"/>
    <d v="2023-02-01T00:00:00"/>
    <d v="2023-06-01T00:00:00"/>
    <n v="120"/>
    <s v="white"/>
    <x v="1"/>
    <n v="230"/>
    <n v="1"/>
    <n v="1"/>
    <n v="4"/>
    <n v="35.950000000000003"/>
    <n v="1.6527000000000001"/>
    <d v="1899-12-30T18:22:00"/>
    <n v="37"/>
    <n v="37"/>
    <s v="na"/>
    <m/>
  </r>
  <r>
    <n v="74"/>
    <s v="LSBI023"/>
    <s v="LCHA118"/>
    <x v="0"/>
    <x v="1"/>
    <d v="2023-02-01T00:00:00"/>
    <d v="2023-06-01T00:00:00"/>
    <n v="120"/>
    <s v="red"/>
    <x v="0"/>
    <n v="241"/>
    <n v="1"/>
    <n v="1"/>
    <n v="1"/>
    <n v="30.92"/>
    <n v="0.95820000000000005"/>
    <d v="1899-12-30T18:23:00"/>
    <n v="37"/>
    <n v="37"/>
    <s v="na"/>
    <m/>
  </r>
  <r>
    <n v="74"/>
    <s v="LSBI023"/>
    <s v="LCHA118"/>
    <x v="0"/>
    <x v="1"/>
    <d v="2023-02-01T00:00:00"/>
    <d v="2023-06-01T00:00:00"/>
    <n v="120"/>
    <s v="red"/>
    <x v="0"/>
    <n v="241"/>
    <n v="1"/>
    <n v="1"/>
    <n v="2"/>
    <n v="36.42"/>
    <n v="1.64"/>
    <d v="1899-12-30T18:23:00"/>
    <n v="37"/>
    <n v="37"/>
    <s v="na"/>
    <m/>
  </r>
  <r>
    <n v="74"/>
    <s v="LSBI023"/>
    <s v="LCHA118"/>
    <x v="0"/>
    <x v="1"/>
    <d v="2023-02-01T00:00:00"/>
    <d v="2023-06-01T00:00:00"/>
    <n v="120"/>
    <s v="red"/>
    <x v="0"/>
    <n v="241"/>
    <n v="1"/>
    <n v="1"/>
    <n v="3"/>
    <n v="31.62"/>
    <n v="0.96240000000000003"/>
    <d v="1899-12-30T18:23:00"/>
    <n v="37"/>
    <n v="37"/>
    <s v="na"/>
    <m/>
  </r>
  <r>
    <n v="74"/>
    <s v="LSBI023"/>
    <s v="LCHA118"/>
    <x v="0"/>
    <x v="1"/>
    <d v="2023-02-01T00:00:00"/>
    <d v="2023-06-01T00:00:00"/>
    <n v="120"/>
    <s v="white"/>
    <x v="1"/>
    <n v="230"/>
    <n v="1"/>
    <n v="1"/>
    <n v="1"/>
    <n v="34.450000000000003"/>
    <n v="1.3347"/>
    <d v="1899-12-30T18:23:00"/>
    <n v="37"/>
    <n v="37"/>
    <s v="na"/>
    <m/>
  </r>
  <r>
    <n v="74"/>
    <s v="LSBI023"/>
    <s v="LCHA118"/>
    <x v="0"/>
    <x v="1"/>
    <d v="2023-02-01T00:00:00"/>
    <d v="2023-06-01T00:00:00"/>
    <n v="120"/>
    <s v="red"/>
    <x v="0"/>
    <n v="241"/>
    <n v="1"/>
    <n v="1"/>
    <n v="4"/>
    <n v="32.47"/>
    <n v="1.2492000000000001"/>
    <d v="1899-12-30T18:27:00"/>
    <n v="37.1"/>
    <n v="37.1"/>
    <s v="na"/>
    <m/>
  </r>
  <r>
    <n v="74"/>
    <s v="LSBI023"/>
    <s v="LCHA118"/>
    <x v="0"/>
    <x v="1"/>
    <d v="2023-02-01T00:00:00"/>
    <d v="2023-06-01T00:00:00"/>
    <n v="120"/>
    <s v="white"/>
    <x v="1"/>
    <n v="230"/>
    <n v="1"/>
    <n v="1"/>
    <n v="2"/>
    <n v="36.78"/>
    <n v="1.8984000000000001"/>
    <m/>
    <n v="37.1"/>
    <n v="37.1"/>
    <s v="na"/>
    <m/>
  </r>
  <r>
    <n v="74"/>
    <s v="LSBI023"/>
    <s v="LCHA118"/>
    <x v="0"/>
    <x v="1"/>
    <d v="2023-02-01T00:00:00"/>
    <d v="2023-06-01T00:00:00"/>
    <n v="120"/>
    <s v="white"/>
    <x v="1"/>
    <n v="230"/>
    <n v="1"/>
    <n v="1"/>
    <n v="5"/>
    <n v="30.08"/>
    <n v="0.91849999999999998"/>
    <m/>
    <n v="37.200000000000003"/>
    <n v="37.200000000000003"/>
    <s v="na"/>
    <m/>
  </r>
  <r>
    <n v="74"/>
    <s v="LSBI023"/>
    <s v="LCHA118"/>
    <x v="0"/>
    <x v="1"/>
    <d v="2023-02-01T00:00:00"/>
    <d v="2023-06-01T00:00:00"/>
    <n v="120"/>
    <s v="blue"/>
    <x v="2"/>
    <n v="227"/>
    <n v="1"/>
    <n v="1"/>
    <n v="1"/>
    <n v="29.91"/>
    <n v="0.9345"/>
    <m/>
    <n v="37.299999999999997"/>
    <n v="37.299999999999997"/>
    <s v="na"/>
    <m/>
  </r>
  <r>
    <n v="74"/>
    <s v="LSBI023"/>
    <s v="LCHA118"/>
    <x v="0"/>
    <x v="1"/>
    <d v="2023-02-01T00:00:00"/>
    <d v="2023-06-01T00:00:00"/>
    <n v="120"/>
    <s v="blue"/>
    <x v="2"/>
    <n v="227"/>
    <n v="1"/>
    <n v="1"/>
    <n v="2"/>
    <n v="27.84"/>
    <n v="0.90349999999999997"/>
    <m/>
    <n v="37.299999999999997"/>
    <n v="37.299999999999997"/>
    <s v="na"/>
    <m/>
  </r>
  <r>
    <n v="74"/>
    <s v="LSBI023"/>
    <s v="LCHA118"/>
    <x v="0"/>
    <x v="1"/>
    <d v="2023-02-01T00:00:00"/>
    <d v="2023-06-01T00:00:00"/>
    <n v="120"/>
    <s v="blue"/>
    <x v="2"/>
    <n v="227"/>
    <n v="1"/>
    <n v="1"/>
    <n v="3"/>
    <n v="24.58"/>
    <n v="0.55859999999999999"/>
    <m/>
    <n v="37.200000000000003"/>
    <n v="37.200000000000003"/>
    <s v="na"/>
    <m/>
  </r>
  <r>
    <n v="74"/>
    <s v="LSBI023"/>
    <s v="LCHA118"/>
    <x v="0"/>
    <x v="1"/>
    <d v="2023-02-01T00:00:00"/>
    <d v="2023-06-01T00:00:00"/>
    <n v="120"/>
    <s v="blue"/>
    <x v="2"/>
    <n v="227"/>
    <n v="1"/>
    <n v="1"/>
    <n v="4"/>
    <m/>
    <m/>
    <m/>
    <m/>
    <m/>
    <s v="na"/>
    <m/>
  </r>
  <r>
    <n v="74"/>
    <s v="LSBI023"/>
    <s v="LCHA118"/>
    <x v="0"/>
    <x v="1"/>
    <d v="2023-02-01T00:00:00"/>
    <d v="2023-06-01T00:00:00"/>
    <n v="120"/>
    <s v="blue"/>
    <x v="2"/>
    <n v="227"/>
    <n v="1"/>
    <n v="1"/>
    <n v="5"/>
    <n v="29.27"/>
    <n v="1.0115000000000001"/>
    <m/>
    <n v="37.200000000000003"/>
    <n v="37.200000000000003"/>
    <s v="na"/>
    <m/>
  </r>
  <r>
    <n v="87"/>
    <s v="CRUS426"/>
    <s v="CRUS360"/>
    <x v="1"/>
    <x v="2"/>
    <d v="2023-02-16T00:00:00"/>
    <d v="2023-06-09T00:00:00"/>
    <n v="113"/>
    <s v="blue"/>
    <x v="0"/>
    <n v="143"/>
    <n v="1"/>
    <n v="2"/>
    <n v="2"/>
    <n v="29.89"/>
    <n v="1.0515000000000001"/>
    <d v="1899-12-30T17:33:00"/>
    <n v="37.021000000000001"/>
    <n v="37"/>
    <n v="37.042000000000002"/>
    <n v="-4.2000000000001592E-2"/>
  </r>
  <r>
    <n v="87"/>
    <s v="CRUS426"/>
    <s v="CRUS360"/>
    <x v="1"/>
    <x v="2"/>
    <d v="2023-02-16T00:00:00"/>
    <d v="2023-06-09T00:00:00"/>
    <n v="113"/>
    <s v="blue"/>
    <x v="0"/>
    <n v="143"/>
    <n v="1"/>
    <n v="2"/>
    <n v="3"/>
    <n v="28.73"/>
    <n v="1.0214000000000001"/>
    <d v="1899-12-30T17:33:00"/>
    <n v="37.021000000000001"/>
    <n v="37"/>
    <n v="37.042000000000002"/>
    <n v="-4.2000000000001592E-2"/>
  </r>
  <r>
    <n v="87"/>
    <s v="CRUS426"/>
    <s v="CRUS360"/>
    <x v="1"/>
    <x v="2"/>
    <d v="2023-02-16T00:00:00"/>
    <d v="2023-06-09T00:00:00"/>
    <n v="113"/>
    <s v="white"/>
    <x v="1"/>
    <n v="150"/>
    <n v="1"/>
    <n v="2"/>
    <n v="1"/>
    <n v="24.87"/>
    <n v="0.57899999999999996"/>
    <d v="1899-12-30T17:33:00"/>
    <n v="37.021000000000001"/>
    <n v="37"/>
    <n v="37.042000000000002"/>
    <n v="-4.2000000000001592E-2"/>
  </r>
  <r>
    <n v="87"/>
    <s v="CRUS426"/>
    <s v="CRUS360"/>
    <x v="1"/>
    <x v="2"/>
    <d v="2023-02-16T00:00:00"/>
    <d v="2023-06-09T00:00:00"/>
    <n v="113"/>
    <s v="blue"/>
    <x v="0"/>
    <n v="143"/>
    <n v="1"/>
    <n v="2"/>
    <n v="4"/>
    <n v="28.52"/>
    <n v="0.95099999999999996"/>
    <d v="1899-12-30T17:34:00"/>
    <n v="37.021000000000001"/>
    <n v="37"/>
    <n v="37.042000000000002"/>
    <n v="-4.2000000000001592E-2"/>
  </r>
  <r>
    <n v="87"/>
    <s v="CRUS426"/>
    <s v="CRUS360"/>
    <x v="1"/>
    <x v="2"/>
    <d v="2023-02-16T00:00:00"/>
    <d v="2023-06-09T00:00:00"/>
    <n v="113"/>
    <s v="blue"/>
    <x v="0"/>
    <n v="143"/>
    <n v="1"/>
    <n v="2"/>
    <n v="1"/>
    <n v="30.68"/>
    <n v="1.2204999999999999"/>
    <d v="1899-12-30T17:37:00"/>
    <n v="37.048000000000002"/>
    <n v="37"/>
    <n v="37.095999999999997"/>
    <n v="-9.5999999999996533E-2"/>
  </r>
  <r>
    <n v="87"/>
    <s v="CRUS426"/>
    <s v="CRUS360"/>
    <x v="1"/>
    <x v="2"/>
    <d v="2023-02-16T00:00:00"/>
    <d v="2023-06-09T00:00:00"/>
    <n v="113"/>
    <s v="white"/>
    <x v="1"/>
    <n v="150"/>
    <n v="1"/>
    <n v="2"/>
    <n v="2"/>
    <n v="36.89"/>
    <n v="2.0522999999999998"/>
    <d v="1899-12-30T17:37:00"/>
    <n v="37.048000000000002"/>
    <n v="37"/>
    <n v="37.095999999999997"/>
    <n v="-9.5999999999996533E-2"/>
  </r>
  <r>
    <n v="87"/>
    <s v="CRUS426"/>
    <s v="CRUS360"/>
    <x v="1"/>
    <x v="2"/>
    <d v="2023-02-16T00:00:00"/>
    <d v="2023-06-09T00:00:00"/>
    <n v="113"/>
    <s v="blue"/>
    <x v="0"/>
    <n v="143"/>
    <n v="1"/>
    <n v="2"/>
    <n v="5"/>
    <n v="25.44"/>
    <n v="0.72409999999999997"/>
    <d v="1899-12-30T17:39:00"/>
    <n v="37.087000000000003"/>
    <n v="37.049999999999997"/>
    <n v="37.124000000000002"/>
    <n v="-7.4000000000005173E-2"/>
  </r>
  <r>
    <n v="87"/>
    <s v="CRUS426"/>
    <s v="CRUS360"/>
    <x v="1"/>
    <x v="2"/>
    <d v="2023-02-16T00:00:00"/>
    <d v="2023-06-09T00:00:00"/>
    <n v="113"/>
    <s v="white"/>
    <x v="1"/>
    <n v="150"/>
    <n v="1"/>
    <n v="2"/>
    <n v="3"/>
    <n v="37.5"/>
    <n v="2.2504"/>
    <d v="1899-12-30T17:45:30"/>
    <n v="37.159999999999997"/>
    <n v="37.1"/>
    <n v="37.22"/>
    <n v="-0.11999999999999744"/>
  </r>
  <r>
    <n v="87"/>
    <s v="CRUS426"/>
    <s v="CRUS360"/>
    <x v="1"/>
    <x v="2"/>
    <d v="2023-02-16T00:00:00"/>
    <d v="2023-06-09T00:00:00"/>
    <n v="113"/>
    <s v="white"/>
    <x v="1"/>
    <n v="150"/>
    <n v="1"/>
    <n v="2"/>
    <n v="4"/>
    <n v="32.729999999999997"/>
    <n v="1.3606"/>
    <d v="1899-12-30T17:45:30"/>
    <n v="37.159999999999997"/>
    <n v="37.1"/>
    <n v="37.22"/>
    <n v="-0.11999999999999744"/>
  </r>
  <r>
    <n v="87"/>
    <s v="CRUS426"/>
    <s v="CRUS360"/>
    <x v="1"/>
    <x v="2"/>
    <d v="2023-02-16T00:00:00"/>
    <d v="2023-06-09T00:00:00"/>
    <n v="113"/>
    <s v="white"/>
    <x v="1"/>
    <n v="150"/>
    <n v="1"/>
    <n v="2"/>
    <n v="5"/>
    <n v="28.19"/>
    <n v="0.95650000000000002"/>
    <d v="1899-12-30T17:45:30"/>
    <n v="37.159999999999997"/>
    <n v="37.1"/>
    <n v="37.22"/>
    <n v="-0.11999999999999744"/>
  </r>
  <r>
    <n v="87"/>
    <s v="CRUS426"/>
    <s v="CRUS360"/>
    <x v="1"/>
    <x v="2"/>
    <d v="2023-02-16T00:00:00"/>
    <d v="2023-06-09T00:00:00"/>
    <n v="113"/>
    <s v="red"/>
    <x v="2"/>
    <n v="125"/>
    <n v="1"/>
    <n v="2"/>
    <n v="2"/>
    <n v="34.549999999999997"/>
    <n v="0.64510000000000001"/>
    <d v="1899-12-30T17:45:30"/>
    <n v="37.159999999999997"/>
    <n v="37.1"/>
    <n v="37.22"/>
    <n v="-0.11999999999999744"/>
  </r>
  <r>
    <n v="87"/>
    <s v="CRUS426"/>
    <s v="CRUS360"/>
    <x v="1"/>
    <x v="2"/>
    <d v="2023-02-16T00:00:00"/>
    <d v="2023-06-09T00:00:00"/>
    <n v="113"/>
    <s v="red"/>
    <x v="2"/>
    <n v="125"/>
    <n v="1"/>
    <n v="2"/>
    <n v="1"/>
    <n v="37.659999999999997"/>
    <n v="0.88419999999999999"/>
    <d v="1899-12-30T17:51:00"/>
    <n v="37.2575"/>
    <n v="37.200000000000003"/>
    <n v="37.314999999999998"/>
    <n v="-0.11499999999999488"/>
  </r>
  <r>
    <n v="87"/>
    <s v="CRUS426"/>
    <s v="CRUS360"/>
    <x v="1"/>
    <x v="2"/>
    <d v="2023-02-16T00:00:00"/>
    <d v="2023-06-09T00:00:00"/>
    <n v="113"/>
    <s v="red"/>
    <x v="2"/>
    <n v="125"/>
    <n v="1"/>
    <n v="2"/>
    <n v="4"/>
    <n v="27.29"/>
    <n v="0.90629999999999999"/>
    <d v="1899-12-30T17:54:00"/>
    <n v="37.384999999999998"/>
    <n v="37.4"/>
    <n v="37.369999999999997"/>
    <n v="3.0000000000001137E-2"/>
  </r>
  <r>
    <n v="87"/>
    <s v="CRUS426"/>
    <s v="CRUS360"/>
    <x v="1"/>
    <x v="2"/>
    <d v="2023-02-16T00:00:00"/>
    <d v="2023-06-09T00:00:00"/>
    <n v="113"/>
    <s v="red"/>
    <x v="2"/>
    <n v="125"/>
    <n v="1"/>
    <n v="2"/>
    <n v="3"/>
    <n v="30.98"/>
    <n v="1.3698999999999999"/>
    <d v="1899-12-30T17:55:00"/>
    <n v="37.399000000000001"/>
    <n v="37.4"/>
    <n v="37.398000000000003"/>
    <n v="1.9999999999953388E-3"/>
  </r>
  <r>
    <n v="87"/>
    <s v="CRUS426"/>
    <s v="CRUS360"/>
    <x v="1"/>
    <x v="2"/>
    <d v="2023-02-16T00:00:00"/>
    <d v="2023-06-09T00:00:00"/>
    <n v="113"/>
    <s v="red"/>
    <x v="2"/>
    <n v="125"/>
    <n v="1"/>
    <n v="2"/>
    <n v="5"/>
    <n v="39.46"/>
    <n v="1.0217000000000001"/>
    <d v="1899-12-30T17:55:00"/>
    <n v="37.399000000000001"/>
    <n v="37.4"/>
    <n v="37.398000000000003"/>
    <n v="1.9999999999953388E-3"/>
  </r>
  <r>
    <n v="69"/>
    <s v="LCKM164"/>
    <s v="LCKM156"/>
    <x v="0"/>
    <x v="0"/>
    <d v="2023-01-30T00:00:00"/>
    <d v="2023-06-06T00:00:00"/>
    <n v="127"/>
    <s v="blue"/>
    <x v="0"/>
    <n v="237"/>
    <n v="2"/>
    <n v="2"/>
    <n v="1"/>
    <n v="29.86"/>
    <n v="0.97789999999999999"/>
    <d v="1899-12-30T16:49:00"/>
    <n v="36.670999999999999"/>
    <n v="36.6"/>
    <n v="36.741999999999997"/>
    <n v="-0.14199999999999591"/>
  </r>
  <r>
    <n v="69"/>
    <s v="LCKM164"/>
    <s v="LCKM156"/>
    <x v="0"/>
    <x v="0"/>
    <d v="2023-01-30T00:00:00"/>
    <d v="2023-06-06T00:00:00"/>
    <n v="127"/>
    <s v="blue"/>
    <x v="0"/>
    <n v="237"/>
    <n v="2"/>
    <n v="2"/>
    <n v="3"/>
    <n v="30.32"/>
    <n v="0.96330000000000005"/>
    <d v="1899-12-30T16:49:00"/>
    <n v="36.670999999999999"/>
    <n v="36.6"/>
    <n v="36.741999999999997"/>
    <n v="-0.14199999999999591"/>
  </r>
  <r>
    <n v="69"/>
    <s v="LCKM164"/>
    <s v="LCKM156"/>
    <x v="0"/>
    <x v="0"/>
    <d v="2023-01-30T00:00:00"/>
    <d v="2023-06-06T00:00:00"/>
    <n v="127"/>
    <s v="blue"/>
    <x v="0"/>
    <n v="237"/>
    <n v="2"/>
    <n v="2"/>
    <n v="4"/>
    <n v="31.08"/>
    <n v="1.0960000000000001"/>
    <d v="1899-12-30T16:49:00"/>
    <n v="36.670999999999999"/>
    <n v="36.6"/>
    <n v="36.741999999999997"/>
    <n v="-0.14199999999999591"/>
  </r>
  <r>
    <n v="69"/>
    <s v="LCKM164"/>
    <s v="LCKM156"/>
    <x v="0"/>
    <x v="0"/>
    <d v="2023-01-30T00:00:00"/>
    <d v="2023-06-06T00:00:00"/>
    <n v="127"/>
    <s v="blue"/>
    <x v="0"/>
    <n v="237"/>
    <n v="2"/>
    <n v="2"/>
    <n v="5"/>
    <n v="34.82"/>
    <n v="1.4717"/>
    <d v="1899-12-30T16:52:00"/>
    <n v="36.734499999999997"/>
    <n v="36.700000000000003"/>
    <n v="36.768999999999998"/>
    <n v="-6.8999999999995509E-2"/>
  </r>
  <r>
    <n v="69"/>
    <s v="LCKM164"/>
    <s v="LCKM156"/>
    <x v="0"/>
    <x v="0"/>
    <d v="2023-01-30T00:00:00"/>
    <d v="2023-06-06T00:00:00"/>
    <n v="127"/>
    <s v="white"/>
    <x v="1"/>
    <n v="129"/>
    <n v="2"/>
    <n v="2"/>
    <n v="5"/>
    <n v="27.35"/>
    <n v="0.73370000000000002"/>
    <d v="1899-12-30T16:56:00"/>
    <n v="36.762"/>
    <n v="36.700000000000003"/>
    <n v="36.823999999999998"/>
    <n v="-0.12399999999999523"/>
  </r>
  <r>
    <n v="69"/>
    <s v="LCKM164"/>
    <s v="LCKM156"/>
    <x v="0"/>
    <x v="0"/>
    <d v="2023-01-30T00:00:00"/>
    <d v="2023-06-06T00:00:00"/>
    <n v="127"/>
    <s v="white"/>
    <x v="1"/>
    <n v="129"/>
    <n v="2"/>
    <n v="2"/>
    <n v="1"/>
    <n v="32.729999999999997"/>
    <n v="1.3666"/>
    <d v="1899-12-30T16:58:00"/>
    <n v="36.838999999999999"/>
    <n v="36.799999999999997"/>
    <n v="36.878"/>
    <n v="-7.8000000000002956E-2"/>
  </r>
  <r>
    <n v="69"/>
    <s v="LCKM164"/>
    <s v="LCKM156"/>
    <x v="0"/>
    <x v="0"/>
    <d v="2023-01-30T00:00:00"/>
    <d v="2023-06-06T00:00:00"/>
    <n v="127"/>
    <s v="blue"/>
    <x v="0"/>
    <n v="237"/>
    <n v="2"/>
    <n v="2"/>
    <n v="2"/>
    <n v="28.11"/>
    <n v="0.87319999999999998"/>
    <d v="1899-12-30T17:00:00"/>
    <n v="36.852499999999999"/>
    <n v="36.799999999999997"/>
    <n v="36.905000000000001"/>
    <n v="-0.10500000000000398"/>
  </r>
  <r>
    <n v="69"/>
    <s v="LCKM164"/>
    <s v="LCKM156"/>
    <x v="0"/>
    <x v="0"/>
    <d v="2023-01-30T00:00:00"/>
    <d v="2023-06-06T00:00:00"/>
    <n v="127"/>
    <s v="white"/>
    <x v="1"/>
    <n v="129"/>
    <n v="2"/>
    <n v="2"/>
    <n v="3"/>
    <n v="27.95"/>
    <n v="0.85329999999999995"/>
    <d v="1899-12-30T17:00:00"/>
    <n v="36.852499999999999"/>
    <n v="36.799999999999997"/>
    <n v="36.905000000000001"/>
    <n v="-0.10500000000000398"/>
  </r>
  <r>
    <n v="69"/>
    <s v="LCKM164"/>
    <s v="LCKM156"/>
    <x v="0"/>
    <x v="0"/>
    <d v="2023-01-30T00:00:00"/>
    <d v="2023-06-06T00:00:00"/>
    <n v="127"/>
    <s v="red"/>
    <x v="2"/>
    <n v="224"/>
    <n v="2"/>
    <n v="2"/>
    <n v="4"/>
    <n v="32.58"/>
    <n v="1.2994000000000001"/>
    <d v="1899-12-30T17:03:00"/>
    <n v="36.905000000000001"/>
    <n v="36.85"/>
    <n v="36.96"/>
    <n v="-0.10999999999999943"/>
  </r>
  <r>
    <n v="69"/>
    <s v="LCKM164"/>
    <s v="LCKM156"/>
    <x v="0"/>
    <x v="0"/>
    <d v="2023-01-30T00:00:00"/>
    <d v="2023-06-06T00:00:00"/>
    <n v="127"/>
    <s v="red"/>
    <x v="2"/>
    <n v="224"/>
    <n v="2"/>
    <n v="2"/>
    <n v="3"/>
    <n v="32.72"/>
    <n v="1.3856999999999999"/>
    <d v="1899-12-30T17:08:00"/>
    <n v="37.042000000000002"/>
    <m/>
    <n v="37.042000000000002"/>
    <m/>
  </r>
  <r>
    <n v="69"/>
    <s v="LCKM164"/>
    <s v="LCKM156"/>
    <x v="0"/>
    <x v="0"/>
    <d v="2023-01-30T00:00:00"/>
    <d v="2023-06-06T00:00:00"/>
    <n v="127"/>
    <s v="red"/>
    <x v="2"/>
    <n v="224"/>
    <n v="2"/>
    <n v="2"/>
    <n v="2"/>
    <n v="35.21"/>
    <n v="1.8164"/>
    <d v="1899-12-30T17:11:00"/>
    <n v="37.095999999999997"/>
    <m/>
    <n v="37.095999999999997"/>
    <m/>
  </r>
  <r>
    <n v="69"/>
    <s v="LCKM164"/>
    <s v="LCKM156"/>
    <x v="0"/>
    <x v="0"/>
    <d v="2023-01-30T00:00:00"/>
    <d v="2023-06-06T00:00:00"/>
    <n v="127"/>
    <s v="red"/>
    <x v="2"/>
    <n v="224"/>
    <n v="2"/>
    <n v="2"/>
    <n v="5"/>
    <n v="32.83"/>
    <n v="1.3371999999999999"/>
    <d v="1899-12-30T17:11:00"/>
    <n v="37.095999999999997"/>
    <m/>
    <n v="37.095999999999997"/>
    <m/>
  </r>
  <r>
    <n v="69"/>
    <s v="LCKM164"/>
    <s v="LCKM156"/>
    <x v="0"/>
    <x v="0"/>
    <d v="2023-01-30T00:00:00"/>
    <d v="2023-06-06T00:00:00"/>
    <n v="127"/>
    <s v="white"/>
    <x v="1"/>
    <n v="129"/>
    <n v="2"/>
    <n v="2"/>
    <n v="2"/>
    <n v="29.56"/>
    <n v="0.99429999999999996"/>
    <d v="1899-12-30T17:11:00"/>
    <n v="37.095999999999997"/>
    <m/>
    <n v="37.095999999999997"/>
    <m/>
  </r>
  <r>
    <n v="69"/>
    <s v="LCKM164"/>
    <s v="LCKM156"/>
    <x v="0"/>
    <x v="0"/>
    <d v="2023-01-30T00:00:00"/>
    <d v="2023-06-06T00:00:00"/>
    <n v="127"/>
    <s v="white"/>
    <x v="1"/>
    <n v="129"/>
    <n v="2"/>
    <n v="2"/>
    <n v="4"/>
    <n v="29.53"/>
    <n v="1.0643"/>
    <d v="1899-12-30T17:11:00"/>
    <n v="37.095999999999997"/>
    <m/>
    <n v="37.095999999999997"/>
    <m/>
  </r>
  <r>
    <n v="69"/>
    <s v="LCKM164"/>
    <s v="LCKM156"/>
    <x v="0"/>
    <x v="0"/>
    <d v="2023-01-30T00:00:00"/>
    <d v="2023-06-06T00:00:00"/>
    <n v="127"/>
    <s v="red"/>
    <x v="2"/>
    <n v="224"/>
    <n v="2"/>
    <n v="2"/>
    <n v="1"/>
    <n v="23.03"/>
    <n v="0.46139999999999998"/>
    <d v="1899-12-30T17:27:00"/>
    <n v="37.11"/>
    <n v="36.85"/>
    <n v="37.369999999999997"/>
    <n v="-0.51999999999999602"/>
  </r>
  <r>
    <n v="75"/>
    <s v="LSBI034"/>
    <s v="LCHA120"/>
    <x v="0"/>
    <x v="1"/>
    <d v="2023-02-02T00:00:00"/>
    <d v="2023-06-01T00:00:00"/>
    <n v="119"/>
    <s v="red"/>
    <x v="0"/>
    <n v="348"/>
    <n v="1"/>
    <n v="2"/>
    <n v="2"/>
    <n v="25.53"/>
    <n v="0.49"/>
    <d v="1899-12-30T18:24:00"/>
    <n v="36.9"/>
    <n v="36.9"/>
    <s v="na"/>
    <m/>
  </r>
  <r>
    <n v="75"/>
    <s v="LSBI034"/>
    <s v="LCHA120"/>
    <x v="0"/>
    <x v="1"/>
    <d v="2023-02-02T00:00:00"/>
    <d v="2023-06-01T00:00:00"/>
    <n v="119"/>
    <s v="red"/>
    <x v="0"/>
    <n v="348"/>
    <n v="1"/>
    <n v="2"/>
    <n v="1"/>
    <n v="28.92"/>
    <n v="0.78680000000000005"/>
    <d v="1899-12-30T18:27:00"/>
    <n v="36.9"/>
    <n v="36.9"/>
    <s v="na"/>
    <m/>
  </r>
  <r>
    <n v="75"/>
    <s v="LSBI034"/>
    <s v="LCHA120"/>
    <x v="0"/>
    <x v="1"/>
    <d v="2023-02-02T00:00:00"/>
    <d v="2023-06-01T00:00:00"/>
    <n v="119"/>
    <s v="red"/>
    <x v="0"/>
    <n v="348"/>
    <n v="1"/>
    <n v="2"/>
    <n v="5"/>
    <n v="32.24"/>
    <n v="1.0857000000000001"/>
    <d v="1899-12-30T18:27:00"/>
    <n v="36.9"/>
    <n v="36.9"/>
    <s v="na"/>
    <m/>
  </r>
  <r>
    <n v="75"/>
    <s v="LSBI034"/>
    <s v="LCHA120"/>
    <x v="0"/>
    <x v="1"/>
    <d v="2023-02-02T00:00:00"/>
    <d v="2023-06-01T00:00:00"/>
    <n v="119"/>
    <s v="white"/>
    <x v="1"/>
    <n v="351"/>
    <n v="1"/>
    <n v="2"/>
    <n v="1"/>
    <n v="33.72"/>
    <n v="1.3327"/>
    <d v="1899-12-30T18:27:00"/>
    <n v="36.9"/>
    <n v="36.9"/>
    <s v="na"/>
    <m/>
  </r>
  <r>
    <n v="75"/>
    <s v="LSBI034"/>
    <s v="LCHA120"/>
    <x v="0"/>
    <x v="1"/>
    <d v="2023-02-02T00:00:00"/>
    <d v="2023-06-01T00:00:00"/>
    <n v="119"/>
    <s v="white"/>
    <x v="1"/>
    <n v="351"/>
    <n v="1"/>
    <n v="2"/>
    <n v="5"/>
    <n v="34.909999999999997"/>
    <n v="1.5759000000000001"/>
    <d v="1899-12-30T18:27:00"/>
    <n v="36.9"/>
    <n v="36.9"/>
    <s v="na"/>
    <m/>
  </r>
  <r>
    <n v="75"/>
    <s v="LSBI034"/>
    <s v="LCHA120"/>
    <x v="0"/>
    <x v="1"/>
    <d v="2023-02-02T00:00:00"/>
    <d v="2023-06-01T00:00:00"/>
    <n v="119"/>
    <s v="red"/>
    <x v="0"/>
    <n v="348"/>
    <n v="1"/>
    <n v="2"/>
    <n v="3"/>
    <n v="27.8"/>
    <n v="0.67030000000000001"/>
    <m/>
    <n v="37.1"/>
    <n v="37.1"/>
    <s v="na"/>
    <m/>
  </r>
  <r>
    <n v="75"/>
    <s v="LSBI034"/>
    <s v="LCHA120"/>
    <x v="0"/>
    <x v="1"/>
    <d v="2023-02-02T00:00:00"/>
    <d v="2023-06-01T00:00:00"/>
    <n v="119"/>
    <s v="red"/>
    <x v="0"/>
    <n v="348"/>
    <n v="1"/>
    <n v="2"/>
    <n v="4"/>
    <n v="28.01"/>
    <n v="0.76190000000000002"/>
    <m/>
    <n v="37.1"/>
    <n v="37.1"/>
    <s v="na"/>
    <m/>
  </r>
  <r>
    <n v="75"/>
    <s v="LSBI034"/>
    <s v="LCHA120"/>
    <x v="0"/>
    <x v="1"/>
    <d v="2023-02-02T00:00:00"/>
    <d v="2023-06-01T00:00:00"/>
    <n v="119"/>
    <s v="white"/>
    <x v="1"/>
    <n v="351"/>
    <n v="1"/>
    <n v="2"/>
    <n v="2"/>
    <n v="32.33"/>
    <n v="1.2464999999999999"/>
    <m/>
    <n v="37.200000000000003"/>
    <n v="37.200000000000003"/>
    <s v="na"/>
    <m/>
  </r>
  <r>
    <n v="75"/>
    <s v="LSBI034"/>
    <s v="LCHA120"/>
    <x v="0"/>
    <x v="1"/>
    <d v="2023-02-02T00:00:00"/>
    <d v="2023-06-01T00:00:00"/>
    <n v="119"/>
    <s v="white"/>
    <x v="1"/>
    <n v="351"/>
    <n v="1"/>
    <n v="2"/>
    <n v="3"/>
    <n v="30.49"/>
    <n v="0.96589999999999998"/>
    <m/>
    <n v="37.200000000000003"/>
    <n v="37.200000000000003"/>
    <s v="na"/>
    <m/>
  </r>
  <r>
    <n v="75"/>
    <s v="LSBI034"/>
    <s v="LCHA120"/>
    <x v="0"/>
    <x v="1"/>
    <d v="2023-02-02T00:00:00"/>
    <d v="2023-06-01T00:00:00"/>
    <n v="119"/>
    <s v="white"/>
    <x v="1"/>
    <n v="351"/>
    <n v="1"/>
    <n v="2"/>
    <n v="4"/>
    <n v="30.3"/>
    <n v="0.96319999999999995"/>
    <m/>
    <n v="37.1"/>
    <n v="37.1"/>
    <s v="na"/>
    <m/>
  </r>
  <r>
    <n v="75"/>
    <s v="LSBI034"/>
    <s v="LCHA120"/>
    <x v="0"/>
    <x v="1"/>
    <d v="2023-02-02T00:00:00"/>
    <d v="2023-06-01T00:00:00"/>
    <n v="119"/>
    <s v="blue"/>
    <x v="2"/>
    <n v="355"/>
    <n v="1"/>
    <n v="2"/>
    <n v="1"/>
    <n v="28"/>
    <n v="0.72940000000000005"/>
    <m/>
    <n v="37.299999999999997"/>
    <n v="37.299999999999997"/>
    <s v="na"/>
    <m/>
  </r>
  <r>
    <n v="75"/>
    <s v="LSBI034"/>
    <s v="LCHA120"/>
    <x v="0"/>
    <x v="1"/>
    <d v="2023-02-02T00:00:00"/>
    <d v="2023-06-01T00:00:00"/>
    <n v="119"/>
    <s v="blue"/>
    <x v="2"/>
    <n v="355"/>
    <n v="1"/>
    <n v="2"/>
    <n v="2"/>
    <n v="32.770000000000003"/>
    <n v="1.3269"/>
    <m/>
    <n v="37.299999999999997"/>
    <n v="37.299999999999997"/>
    <s v="na"/>
    <m/>
  </r>
  <r>
    <n v="75"/>
    <s v="LSBI034"/>
    <s v="LCHA120"/>
    <x v="0"/>
    <x v="1"/>
    <d v="2023-02-02T00:00:00"/>
    <d v="2023-06-01T00:00:00"/>
    <n v="119"/>
    <s v="blue"/>
    <x v="2"/>
    <n v="355"/>
    <n v="1"/>
    <n v="2"/>
    <n v="3"/>
    <n v="32.53"/>
    <n v="1.3181"/>
    <m/>
    <n v="37.299999999999997"/>
    <n v="37.299999999999997"/>
    <s v="na"/>
    <m/>
  </r>
  <r>
    <n v="75"/>
    <s v="LSBI034"/>
    <s v="LCHA120"/>
    <x v="0"/>
    <x v="1"/>
    <d v="2023-02-02T00:00:00"/>
    <d v="2023-06-01T00:00:00"/>
    <n v="119"/>
    <s v="blue"/>
    <x v="2"/>
    <n v="355"/>
    <n v="1"/>
    <n v="2"/>
    <n v="4"/>
    <n v="29.63"/>
    <n v="0.90059999999999996"/>
    <m/>
    <n v="37.299999999999997"/>
    <n v="37.299999999999997"/>
    <s v="na"/>
    <m/>
  </r>
  <r>
    <n v="75"/>
    <s v="LSBI034"/>
    <s v="LCHA120"/>
    <x v="0"/>
    <x v="1"/>
    <d v="2023-02-02T00:00:00"/>
    <d v="2023-06-01T00:00:00"/>
    <n v="119"/>
    <s v="blue"/>
    <x v="2"/>
    <n v="355"/>
    <n v="1"/>
    <n v="2"/>
    <n v="5"/>
    <n v="34.5"/>
    <n v="1.6419999999999999"/>
    <m/>
    <n v="37.299999999999997"/>
    <n v="37.299999999999997"/>
    <s v="na"/>
    <m/>
  </r>
  <r>
    <n v="65"/>
    <s v="LSBI028"/>
    <s v="LSBI027"/>
    <x v="0"/>
    <x v="3"/>
    <d v="2023-01-27T00:00:00"/>
    <d v="2023-06-09T00:00:00"/>
    <n v="133"/>
    <s v="blue"/>
    <x v="0"/>
    <n v="147"/>
    <n v="1"/>
    <n v="3"/>
    <n v="3"/>
    <n v="32.11"/>
    <n v="1.3546"/>
    <d v="1899-12-30T17:27:30"/>
    <n v="36.852499999999999"/>
    <n v="36.799999999999997"/>
    <n v="36.905000000000001"/>
    <n v="-0.10500000000000398"/>
  </r>
  <r>
    <n v="65"/>
    <s v="LSBI028"/>
    <s v="LSBI027"/>
    <x v="0"/>
    <x v="3"/>
    <d v="2023-01-27T00:00:00"/>
    <d v="2023-06-09T00:00:00"/>
    <n v="133"/>
    <s v="blue"/>
    <x v="0"/>
    <n v="147"/>
    <n v="1"/>
    <n v="3"/>
    <n v="5"/>
    <n v="33.89"/>
    <n v="1.5185"/>
    <d v="1899-12-30T17:27:30"/>
    <n v="36.852499999999999"/>
    <n v="36.799999999999997"/>
    <n v="36.905000000000001"/>
    <n v="-0.10500000000000398"/>
  </r>
  <r>
    <n v="65"/>
    <s v="LSBI028"/>
    <s v="LSBI027"/>
    <x v="0"/>
    <x v="3"/>
    <d v="2023-01-27T00:00:00"/>
    <d v="2023-06-09T00:00:00"/>
    <n v="133"/>
    <s v="white"/>
    <x v="1"/>
    <n v="232"/>
    <n v="1"/>
    <n v="3"/>
    <n v="2"/>
    <n v="28.05"/>
    <n v="0.79790000000000005"/>
    <d v="1899-12-30T17:27:30"/>
    <n v="36.852499999999999"/>
    <n v="36.799999999999997"/>
    <n v="36.905000000000001"/>
    <n v="-0.10500000000000398"/>
  </r>
  <r>
    <n v="65"/>
    <s v="LSBI028"/>
    <s v="LSBI027"/>
    <x v="0"/>
    <x v="3"/>
    <d v="2023-01-27T00:00:00"/>
    <d v="2023-06-09T00:00:00"/>
    <n v="133"/>
    <s v="white"/>
    <x v="1"/>
    <n v="232"/>
    <n v="1"/>
    <n v="3"/>
    <n v="5"/>
    <n v="37.58"/>
    <n v="2.1318000000000001"/>
    <d v="1899-12-30T17:27:30"/>
    <n v="36.852499999999999"/>
    <n v="36.799999999999997"/>
    <n v="36.905000000000001"/>
    <n v="-0.10500000000000398"/>
  </r>
  <r>
    <n v="65"/>
    <s v="LSBI028"/>
    <s v="LSBI027"/>
    <x v="0"/>
    <x v="3"/>
    <d v="2023-01-27T00:00:00"/>
    <d v="2023-06-09T00:00:00"/>
    <n v="133"/>
    <s v="blue"/>
    <x v="0"/>
    <n v="147"/>
    <n v="1"/>
    <n v="3"/>
    <n v="2"/>
    <n v="31.3"/>
    <n v="1.2248000000000001"/>
    <d v="1899-12-30T17:35:00"/>
    <n v="36.932500000000005"/>
    <n v="36.85"/>
    <n v="37.015000000000001"/>
    <n v="-0.16499999999999915"/>
  </r>
  <r>
    <n v="65"/>
    <s v="LSBI028"/>
    <s v="LSBI027"/>
    <x v="0"/>
    <x v="3"/>
    <d v="2023-01-27T00:00:00"/>
    <d v="2023-06-09T00:00:00"/>
    <n v="133"/>
    <s v="blue"/>
    <x v="0"/>
    <n v="147"/>
    <n v="1"/>
    <n v="3"/>
    <n v="4"/>
    <n v="33.11"/>
    <n v="1.4584999999999999"/>
    <d v="1899-12-30T17:35:00"/>
    <n v="36.932500000000005"/>
    <n v="36.85"/>
    <n v="37.015000000000001"/>
    <n v="-0.16499999999999915"/>
  </r>
  <r>
    <n v="65"/>
    <s v="LSBI028"/>
    <s v="LSBI027"/>
    <x v="0"/>
    <x v="3"/>
    <d v="2023-01-27T00:00:00"/>
    <d v="2023-06-09T00:00:00"/>
    <n v="133"/>
    <s v="white"/>
    <x v="1"/>
    <n v="232"/>
    <n v="1"/>
    <n v="3"/>
    <n v="1"/>
    <n v="34.07"/>
    <n v="1.5577000000000001"/>
    <d v="1899-12-30T17:35:00"/>
    <n v="36.932500000000005"/>
    <n v="36.85"/>
    <n v="37.015000000000001"/>
    <n v="-0.16499999999999915"/>
  </r>
  <r>
    <n v="65"/>
    <s v="LSBI028"/>
    <s v="LSBI027"/>
    <x v="0"/>
    <x v="3"/>
    <d v="2023-01-27T00:00:00"/>
    <d v="2023-06-09T00:00:00"/>
    <n v="133"/>
    <s v="red"/>
    <x v="2"/>
    <n v="126"/>
    <n v="1"/>
    <n v="3"/>
    <n v="5"/>
    <n v="30.91"/>
    <n v="1.1254999999999999"/>
    <d v="1899-12-30T17:38:00"/>
    <n v="36.984499999999997"/>
    <n v="36.9"/>
    <n v="37.069000000000003"/>
    <n v="-0.16900000000000404"/>
  </r>
  <r>
    <n v="65"/>
    <s v="LSBI028"/>
    <s v="LSBI027"/>
    <x v="0"/>
    <x v="3"/>
    <d v="2023-01-27T00:00:00"/>
    <d v="2023-06-09T00:00:00"/>
    <n v="133"/>
    <s v="blue"/>
    <x v="0"/>
    <n v="147"/>
    <n v="1"/>
    <n v="3"/>
    <n v="1"/>
    <n v="35.15"/>
    <n v="1.7949999999999999"/>
    <d v="1899-12-30T17:40:00"/>
    <n v="36.997999999999998"/>
    <n v="36.9"/>
    <n v="37.095999999999997"/>
    <n v="-0.19599999999999795"/>
  </r>
  <r>
    <n v="65"/>
    <s v="LSBI028"/>
    <s v="LSBI027"/>
    <x v="0"/>
    <x v="3"/>
    <d v="2023-01-27T00:00:00"/>
    <d v="2023-06-09T00:00:00"/>
    <n v="133"/>
    <s v="white"/>
    <x v="1"/>
    <n v="232"/>
    <n v="1"/>
    <n v="3"/>
    <n v="3"/>
    <n v="33.82"/>
    <n v="1.4905999999999999"/>
    <d v="1899-12-30T17:41:00"/>
    <n v="37.012"/>
    <n v="36.9"/>
    <n v="37.124000000000002"/>
    <n v="-0.22400000000000375"/>
  </r>
  <r>
    <n v="65"/>
    <s v="LSBI028"/>
    <s v="LSBI027"/>
    <x v="0"/>
    <x v="3"/>
    <d v="2023-01-27T00:00:00"/>
    <d v="2023-06-09T00:00:00"/>
    <n v="133"/>
    <s v="red"/>
    <x v="2"/>
    <n v="126"/>
    <n v="1"/>
    <n v="3"/>
    <n v="4"/>
    <n v="28.89"/>
    <n v="0.9919"/>
    <d v="1899-12-30T17:42:00"/>
    <n v="37.112000000000002"/>
    <n v="37.1"/>
    <n v="37.124000000000002"/>
    <n v="-2.4000000000000909E-2"/>
  </r>
  <r>
    <n v="65"/>
    <s v="LSBI028"/>
    <s v="LSBI027"/>
    <x v="0"/>
    <x v="3"/>
    <d v="2023-01-27T00:00:00"/>
    <d v="2023-06-09T00:00:00"/>
    <n v="133"/>
    <s v="white"/>
    <x v="1"/>
    <n v="232"/>
    <n v="1"/>
    <n v="3"/>
    <n v="4"/>
    <n v="34.479999999999997"/>
    <n v="1.5906"/>
    <d v="1899-12-30T17:44:00"/>
    <n v="37.100499999999997"/>
    <n v="37.049999999999997"/>
    <n v="37.151000000000003"/>
    <n v="-0.1010000000000062"/>
  </r>
  <r>
    <n v="65"/>
    <s v="LSBI028"/>
    <s v="LSBI027"/>
    <x v="0"/>
    <x v="3"/>
    <d v="2023-01-27T00:00:00"/>
    <d v="2023-06-09T00:00:00"/>
    <n v="133"/>
    <s v="red"/>
    <x v="2"/>
    <n v="126"/>
    <n v="1"/>
    <n v="3"/>
    <n v="1"/>
    <n v="29.07"/>
    <n v="1.04"/>
    <d v="1899-12-30T17:44:00"/>
    <n v="37.100499999999997"/>
    <n v="37.049999999999997"/>
    <n v="37.151000000000003"/>
    <n v="-0.1010000000000062"/>
  </r>
  <r>
    <n v="65"/>
    <s v="LSBI028"/>
    <s v="LSBI027"/>
    <x v="0"/>
    <x v="3"/>
    <d v="2023-01-27T00:00:00"/>
    <d v="2023-06-09T00:00:00"/>
    <n v="133"/>
    <s v="red"/>
    <x v="2"/>
    <n v="126"/>
    <n v="1"/>
    <n v="3"/>
    <n v="2"/>
    <n v="29.16"/>
    <n v="0.99839999999999995"/>
    <d v="1899-12-30T17:44:00"/>
    <n v="37.100499999999997"/>
    <n v="37.049999999999997"/>
    <n v="37.151000000000003"/>
    <n v="-0.1010000000000062"/>
  </r>
  <r>
    <n v="65"/>
    <s v="LSBI028"/>
    <s v="LSBI027"/>
    <x v="0"/>
    <x v="3"/>
    <d v="2023-01-27T00:00:00"/>
    <d v="2023-06-09T00:00:00"/>
    <n v="133"/>
    <s v="red"/>
    <x v="2"/>
    <n v="126"/>
    <n v="1"/>
    <n v="3"/>
    <n v="3"/>
    <n v="35.69"/>
    <n v="1.9946999999999999"/>
    <d v="1899-12-30T17:50:00"/>
    <n v="37.230500000000006"/>
    <n v="37.200000000000003"/>
    <n v="37.261000000000003"/>
    <n v="-6.0999999999999943E-2"/>
  </r>
  <r>
    <n v="75"/>
    <s v="LSBI034"/>
    <s v="LCHA120"/>
    <x v="0"/>
    <x v="1"/>
    <d v="2023-02-02T00:00:00"/>
    <d v="2023-06-06T00:00:00"/>
    <n v="124"/>
    <s v="blue"/>
    <x v="0"/>
    <n v="139"/>
    <n v="2"/>
    <n v="3"/>
    <n v="1"/>
    <n v="27.97"/>
    <n v="0.82679999999999998"/>
    <d v="1899-12-30T16:50:00"/>
    <n v="36.762"/>
    <n v="36.700000000000003"/>
    <n v="36.823999999999998"/>
    <n v="-0.12399999999999523"/>
  </r>
  <r>
    <n v="75"/>
    <s v="LSBI034"/>
    <s v="LCHA120"/>
    <x v="0"/>
    <x v="1"/>
    <d v="2023-02-02T00:00:00"/>
    <d v="2023-06-06T00:00:00"/>
    <n v="124"/>
    <s v="blue"/>
    <x v="0"/>
    <n v="139"/>
    <n v="2"/>
    <n v="3"/>
    <n v="2"/>
    <n v="30.71"/>
    <n v="1.1964999999999999"/>
    <d v="1899-12-30T16:50:00"/>
    <n v="36.762"/>
    <n v="36.700000000000003"/>
    <n v="36.823999999999998"/>
    <n v="-0.12399999999999523"/>
  </r>
  <r>
    <n v="75"/>
    <s v="LSBI034"/>
    <s v="LCHA120"/>
    <x v="0"/>
    <x v="1"/>
    <d v="2023-02-02T00:00:00"/>
    <d v="2023-06-06T00:00:00"/>
    <n v="124"/>
    <s v="blue"/>
    <x v="0"/>
    <n v="139"/>
    <n v="2"/>
    <n v="3"/>
    <n v="3"/>
    <n v="32.11"/>
    <n v="1.2656000000000001"/>
    <d v="1899-12-30T16:50:00"/>
    <n v="36.762"/>
    <n v="36.700000000000003"/>
    <n v="36.823999999999998"/>
    <n v="-0.12399999999999523"/>
  </r>
  <r>
    <n v="75"/>
    <s v="LSBI034"/>
    <s v="LCHA120"/>
    <x v="0"/>
    <x v="1"/>
    <d v="2023-02-02T00:00:00"/>
    <d v="2023-06-06T00:00:00"/>
    <n v="124"/>
    <s v="white"/>
    <x v="1"/>
    <n v="134"/>
    <n v="2"/>
    <n v="3"/>
    <n v="4"/>
    <n v="27.54"/>
    <n v="0.184"/>
    <d v="1899-12-30T16:50:00"/>
    <n v="36.762"/>
    <n v="36.700000000000003"/>
    <n v="36.823999999999998"/>
    <n v="-0.12399999999999523"/>
  </r>
  <r>
    <n v="75"/>
    <s v="LSBI034"/>
    <s v="LCHA120"/>
    <x v="0"/>
    <x v="1"/>
    <d v="2023-02-02T00:00:00"/>
    <d v="2023-06-06T00:00:00"/>
    <n v="124"/>
    <s v="white"/>
    <x v="1"/>
    <n v="134"/>
    <n v="2"/>
    <n v="3"/>
    <n v="5"/>
    <n v="31.3"/>
    <n v="1.0827"/>
    <d v="1899-12-30T16:50:00"/>
    <n v="36.762"/>
    <n v="36.700000000000003"/>
    <n v="36.823999999999998"/>
    <n v="-0.12399999999999523"/>
  </r>
  <r>
    <n v="75"/>
    <s v="LSBI034"/>
    <s v="LCHA120"/>
    <x v="0"/>
    <x v="1"/>
    <d v="2023-02-02T00:00:00"/>
    <d v="2023-06-06T00:00:00"/>
    <n v="124"/>
    <s v="blue"/>
    <x v="0"/>
    <n v="139"/>
    <n v="2"/>
    <n v="3"/>
    <n v="5"/>
    <n v="34.200000000000003"/>
    <n v="1.5496000000000001"/>
    <d v="1899-12-30T16:51:00"/>
    <n v="36.850999999999999"/>
    <m/>
    <n v="36.850999999999999"/>
    <m/>
  </r>
  <r>
    <n v="75"/>
    <s v="LSBI034"/>
    <s v="LCHA120"/>
    <x v="0"/>
    <x v="1"/>
    <d v="2023-02-02T00:00:00"/>
    <d v="2023-06-06T00:00:00"/>
    <n v="124"/>
    <s v="white"/>
    <x v="1"/>
    <n v="134"/>
    <n v="2"/>
    <n v="3"/>
    <n v="2"/>
    <n v="29.57"/>
    <n v="0.93930000000000002"/>
    <d v="1899-12-30T16:51:00"/>
    <n v="36.850999999999999"/>
    <m/>
    <n v="36.850999999999999"/>
    <m/>
  </r>
  <r>
    <n v="75"/>
    <s v="LSBI034"/>
    <s v="LCHA120"/>
    <x v="0"/>
    <x v="1"/>
    <d v="2023-02-02T00:00:00"/>
    <d v="2023-06-06T00:00:00"/>
    <n v="124"/>
    <s v="white"/>
    <x v="1"/>
    <n v="134"/>
    <n v="2"/>
    <n v="3"/>
    <n v="3"/>
    <n v="28.58"/>
    <n v="0.84440000000000004"/>
    <d v="1899-12-30T16:51:00"/>
    <n v="36.850999999999999"/>
    <m/>
    <n v="36.850999999999999"/>
    <m/>
  </r>
  <r>
    <n v="75"/>
    <s v="LSBI034"/>
    <s v="LCHA120"/>
    <x v="0"/>
    <x v="1"/>
    <d v="2023-02-02T00:00:00"/>
    <d v="2023-06-06T00:00:00"/>
    <n v="124"/>
    <s v="blue"/>
    <x v="0"/>
    <n v="139"/>
    <n v="2"/>
    <n v="3"/>
    <n v="4"/>
    <n v="30.77"/>
    <n v="1.2195"/>
    <d v="1899-12-30T16:55:00"/>
    <n v="36.852499999999999"/>
    <n v="36.799999999999997"/>
    <n v="36.905000000000001"/>
    <n v="-0.10500000000000398"/>
  </r>
  <r>
    <n v="75"/>
    <s v="LSBI034"/>
    <s v="LCHA120"/>
    <x v="0"/>
    <x v="1"/>
    <d v="2023-02-02T00:00:00"/>
    <d v="2023-06-06T00:00:00"/>
    <n v="124"/>
    <s v="white"/>
    <x v="1"/>
    <n v="134"/>
    <n v="2"/>
    <n v="3"/>
    <n v="1"/>
    <n v="27.24"/>
    <n v="0.72340000000000004"/>
    <d v="1899-12-30T16:55:00"/>
    <n v="36.852499999999999"/>
    <n v="36.799999999999997"/>
    <n v="36.905000000000001"/>
    <n v="-0.10500000000000398"/>
  </r>
  <r>
    <n v="75"/>
    <s v="LSBI034"/>
    <s v="LCHA120"/>
    <x v="0"/>
    <x v="1"/>
    <d v="2023-02-02T00:00:00"/>
    <d v="2023-06-06T00:00:00"/>
    <n v="124"/>
    <s v="red"/>
    <x v="2"/>
    <n v="127"/>
    <n v="2"/>
    <n v="3"/>
    <n v="1"/>
    <n v="25.44"/>
    <n v="0.64949999999999997"/>
    <d v="1899-12-30T17:07:00"/>
    <n v="37.124000000000002"/>
    <m/>
    <n v="37.124000000000002"/>
    <m/>
  </r>
  <r>
    <n v="75"/>
    <s v="LSBI034"/>
    <s v="LCHA120"/>
    <x v="0"/>
    <x v="1"/>
    <d v="2023-02-02T00:00:00"/>
    <d v="2023-06-06T00:00:00"/>
    <n v="124"/>
    <s v="red"/>
    <x v="2"/>
    <n v="127"/>
    <n v="2"/>
    <n v="3"/>
    <n v="2"/>
    <n v="28"/>
    <n v="0.87970000000000004"/>
    <d v="1899-12-30T17:07:00"/>
    <n v="37.124000000000002"/>
    <m/>
    <n v="37.124000000000002"/>
    <m/>
  </r>
  <r>
    <n v="75"/>
    <s v="LSBI034"/>
    <s v="LCHA120"/>
    <x v="0"/>
    <x v="1"/>
    <d v="2023-02-02T00:00:00"/>
    <d v="2023-06-06T00:00:00"/>
    <n v="124"/>
    <s v="red"/>
    <x v="2"/>
    <n v="127"/>
    <n v="2"/>
    <n v="3"/>
    <n v="3"/>
    <n v="30.12"/>
    <n v="1.1579999999999999"/>
    <d v="1899-12-30T17:07:00"/>
    <n v="37.124000000000002"/>
    <m/>
    <n v="37.124000000000002"/>
    <m/>
  </r>
  <r>
    <n v="75"/>
    <s v="LSBI034"/>
    <s v="LCHA120"/>
    <x v="0"/>
    <x v="1"/>
    <d v="2023-02-02T00:00:00"/>
    <d v="2023-06-06T00:00:00"/>
    <n v="124"/>
    <s v="red"/>
    <x v="2"/>
    <n v="127"/>
    <n v="2"/>
    <n v="3"/>
    <n v="4"/>
    <n v="27.45"/>
    <n v="0.83099999999999996"/>
    <d v="1899-12-30T17:07:00"/>
    <n v="37.124000000000002"/>
    <m/>
    <n v="37.124000000000002"/>
    <m/>
  </r>
  <r>
    <n v="75"/>
    <s v="LSBI034"/>
    <s v="LCHA120"/>
    <x v="0"/>
    <x v="1"/>
    <d v="2023-02-02T00:00:00"/>
    <d v="2023-06-06T00:00:00"/>
    <n v="124"/>
    <s v="red"/>
    <x v="2"/>
    <n v="127"/>
    <n v="2"/>
    <n v="3"/>
    <n v="5"/>
    <n v="24.36"/>
    <n v="0.62180000000000002"/>
    <d v="1899-12-30T17:09:00"/>
    <n v="37.177999999999997"/>
    <m/>
    <n v="37.177999999999997"/>
    <m/>
  </r>
  <r>
    <n v="89"/>
    <s v="LCKM159"/>
    <s v="LCKM155"/>
    <x v="0"/>
    <x v="0"/>
    <d v="2023-02-10T00:00:00"/>
    <d v="2023-06-01T00:00:00"/>
    <n v="111"/>
    <s v="white"/>
    <x v="1"/>
    <n v="132"/>
    <n v="2"/>
    <n v="3"/>
    <n v="2"/>
    <n v="32.450000000000003"/>
    <n v="1.1714"/>
    <d v="1899-12-30T18:22:00"/>
    <n v="37.1"/>
    <n v="37.1"/>
    <s v="na"/>
    <m/>
  </r>
  <r>
    <n v="89"/>
    <s v="LCKM159"/>
    <s v="LCKM155"/>
    <x v="0"/>
    <x v="0"/>
    <d v="2023-02-10T00:00:00"/>
    <d v="2023-06-01T00:00:00"/>
    <n v="111"/>
    <s v="red"/>
    <x v="0"/>
    <n v="138"/>
    <n v="2"/>
    <n v="3"/>
    <n v="1"/>
    <n v="26.74"/>
    <n v="0.68899999999999995"/>
    <d v="1899-12-30T18:23:00"/>
    <n v="37.1"/>
    <n v="37.1"/>
    <s v="na"/>
    <m/>
  </r>
  <r>
    <n v="89"/>
    <s v="LCKM159"/>
    <s v="LCKM155"/>
    <x v="0"/>
    <x v="0"/>
    <d v="2023-02-10T00:00:00"/>
    <d v="2023-06-01T00:00:00"/>
    <n v="111"/>
    <s v="red"/>
    <x v="0"/>
    <n v="138"/>
    <n v="2"/>
    <n v="3"/>
    <n v="2"/>
    <n v="29.14"/>
    <n v="0.92569999999999997"/>
    <d v="1899-12-30T18:28:00"/>
    <n v="37.1"/>
    <n v="37.1"/>
    <s v="na"/>
    <m/>
  </r>
  <r>
    <n v="89"/>
    <s v="LCKM159"/>
    <s v="LCKM155"/>
    <x v="0"/>
    <x v="0"/>
    <d v="2023-02-10T00:00:00"/>
    <d v="2023-06-01T00:00:00"/>
    <n v="111"/>
    <s v="red"/>
    <x v="0"/>
    <n v="138"/>
    <n v="2"/>
    <n v="3"/>
    <n v="4"/>
    <n v="30.04"/>
    <n v="0.9012"/>
    <d v="1899-12-30T18:28:00"/>
    <n v="37.1"/>
    <n v="37.1"/>
    <s v="na"/>
    <m/>
  </r>
  <r>
    <n v="89"/>
    <s v="LCKM159"/>
    <s v="LCKM155"/>
    <x v="0"/>
    <x v="0"/>
    <d v="2023-02-10T00:00:00"/>
    <d v="2023-06-01T00:00:00"/>
    <n v="111"/>
    <s v="white"/>
    <x v="1"/>
    <n v="132"/>
    <n v="2"/>
    <n v="3"/>
    <n v="4"/>
    <n v="36.42"/>
    <n v="1.7766999999999999"/>
    <d v="1899-12-30T18:28:00"/>
    <n v="37.1"/>
    <n v="37.1"/>
    <s v="na"/>
    <m/>
  </r>
  <r>
    <n v="89"/>
    <s v="LCKM159"/>
    <s v="LCKM155"/>
    <x v="0"/>
    <x v="0"/>
    <d v="2023-02-10T00:00:00"/>
    <d v="2023-06-01T00:00:00"/>
    <n v="111"/>
    <s v="blue"/>
    <x v="2"/>
    <n v="328"/>
    <n v="2"/>
    <n v="3"/>
    <n v="4"/>
    <n v="33.619999999999997"/>
    <n v="1.3791"/>
    <d v="1899-12-30T18:48:00"/>
    <n v="37.4"/>
    <n v="37.4"/>
    <s v="na"/>
    <m/>
  </r>
  <r>
    <n v="89"/>
    <s v="LCKM159"/>
    <s v="LCKM155"/>
    <x v="0"/>
    <x v="0"/>
    <d v="2023-02-10T00:00:00"/>
    <d v="2023-06-01T00:00:00"/>
    <n v="111"/>
    <s v="red"/>
    <x v="0"/>
    <n v="138"/>
    <n v="2"/>
    <n v="3"/>
    <n v="3"/>
    <n v="35.47"/>
    <n v="1.5531999999999999"/>
    <m/>
    <n v="37.200000000000003"/>
    <n v="37.200000000000003"/>
    <s v="na"/>
    <m/>
  </r>
  <r>
    <n v="89"/>
    <s v="LCKM159"/>
    <s v="LCKM155"/>
    <x v="0"/>
    <x v="0"/>
    <d v="2023-02-10T00:00:00"/>
    <d v="2023-06-01T00:00:00"/>
    <n v="111"/>
    <s v="red"/>
    <x v="0"/>
    <n v="138"/>
    <n v="2"/>
    <n v="3"/>
    <n v="5"/>
    <n v="29.87"/>
    <n v="0.98699999999999999"/>
    <m/>
    <n v="37.1"/>
    <n v="37.1"/>
    <s v="na"/>
    <m/>
  </r>
  <r>
    <n v="89"/>
    <s v="LCKM159"/>
    <s v="LCKM155"/>
    <x v="0"/>
    <x v="0"/>
    <d v="2023-02-10T00:00:00"/>
    <d v="2023-06-01T00:00:00"/>
    <n v="111"/>
    <s v="white"/>
    <x v="1"/>
    <n v="132"/>
    <n v="2"/>
    <n v="3"/>
    <n v="1"/>
    <n v="42.88"/>
    <n v="2.6554000000000002"/>
    <m/>
    <n v="37.1"/>
    <n v="37.1"/>
    <s v="na"/>
    <m/>
  </r>
  <r>
    <n v="89"/>
    <s v="LCKM159"/>
    <s v="LCKM155"/>
    <x v="0"/>
    <x v="0"/>
    <d v="2023-02-10T00:00:00"/>
    <d v="2023-06-01T00:00:00"/>
    <n v="111"/>
    <s v="white"/>
    <x v="1"/>
    <n v="132"/>
    <n v="2"/>
    <n v="3"/>
    <n v="3"/>
    <n v="35.71"/>
    <n v="1.6724000000000001"/>
    <m/>
    <m/>
    <m/>
    <s v="na"/>
    <m/>
  </r>
  <r>
    <n v="89"/>
    <s v="LCKM159"/>
    <s v="LCKM155"/>
    <x v="0"/>
    <x v="0"/>
    <d v="2023-02-10T00:00:00"/>
    <d v="2023-06-01T00:00:00"/>
    <n v="111"/>
    <s v="white"/>
    <x v="1"/>
    <n v="132"/>
    <n v="2"/>
    <n v="3"/>
    <n v="5"/>
    <n v="41.43"/>
    <n v="2.1825999999999999"/>
    <m/>
    <n v="37.1"/>
    <n v="37.1"/>
    <s v="na"/>
    <m/>
  </r>
  <r>
    <n v="89"/>
    <s v="LCKM159"/>
    <s v="LCKM155"/>
    <x v="0"/>
    <x v="0"/>
    <d v="2023-02-10T00:00:00"/>
    <d v="2023-06-01T00:00:00"/>
    <n v="111"/>
    <s v="blue"/>
    <x v="2"/>
    <n v="328"/>
    <n v="2"/>
    <n v="3"/>
    <n v="1"/>
    <n v="27.63"/>
    <n v="0.78500000000000003"/>
    <m/>
    <n v="37.299999999999997"/>
    <n v="37.299999999999997"/>
    <s v="na"/>
    <m/>
  </r>
  <r>
    <n v="89"/>
    <s v="LCKM159"/>
    <s v="LCKM155"/>
    <x v="0"/>
    <x v="0"/>
    <d v="2023-02-10T00:00:00"/>
    <d v="2023-06-01T00:00:00"/>
    <n v="111"/>
    <s v="blue"/>
    <x v="2"/>
    <n v="328"/>
    <n v="2"/>
    <n v="3"/>
    <n v="2"/>
    <n v="30.83"/>
    <n v="1"/>
    <m/>
    <n v="37.299999999999997"/>
    <n v="37.299999999999997"/>
    <s v="na"/>
    <m/>
  </r>
  <r>
    <n v="89"/>
    <s v="LCKM159"/>
    <s v="LCKM155"/>
    <x v="0"/>
    <x v="0"/>
    <d v="2023-02-10T00:00:00"/>
    <d v="2023-06-01T00:00:00"/>
    <n v="111"/>
    <s v="blue"/>
    <x v="2"/>
    <n v="328"/>
    <n v="2"/>
    <n v="3"/>
    <n v="3"/>
    <n v="31.25"/>
    <n v="1.2212000000000001"/>
    <m/>
    <n v="37.299999999999997"/>
    <n v="37.299999999999997"/>
    <s v="na"/>
    <m/>
  </r>
  <r>
    <n v="89"/>
    <s v="LCKM159"/>
    <s v="LCKM155"/>
    <x v="0"/>
    <x v="0"/>
    <d v="2023-02-10T00:00:00"/>
    <d v="2023-06-01T00:00:00"/>
    <n v="111"/>
    <s v="blue"/>
    <x v="2"/>
    <n v="328"/>
    <n v="2"/>
    <n v="3"/>
    <n v="5"/>
    <n v="29.87"/>
    <n v="0.91590000000000005"/>
    <m/>
    <n v="37.299999999999997"/>
    <n v="37.299999999999997"/>
    <s v="na"/>
    <m/>
  </r>
  <r>
    <n v="74"/>
    <s v="LSBI023"/>
    <s v="LCHA118"/>
    <x v="0"/>
    <x v="1"/>
    <d v="2023-02-01T00:00:00"/>
    <d v="2023-06-09T00:00:00"/>
    <n v="128"/>
    <s v="white"/>
    <x v="1"/>
    <n v="153"/>
    <n v="1"/>
    <n v="4"/>
    <n v="1"/>
    <n v="27.24"/>
    <n v="0.80769999999999997"/>
    <d v="1899-12-30T17:22:00"/>
    <n v="36.6"/>
    <n v="36.6"/>
    <s v="na"/>
    <m/>
  </r>
  <r>
    <n v="74"/>
    <s v="LSBI023"/>
    <s v="LCHA118"/>
    <x v="0"/>
    <x v="1"/>
    <d v="2023-02-01T00:00:00"/>
    <d v="2023-06-09T00:00:00"/>
    <n v="128"/>
    <s v="white"/>
    <x v="1"/>
    <n v="153"/>
    <n v="1"/>
    <n v="4"/>
    <n v="3"/>
    <n v="30.04"/>
    <n v="0.88270000000000004"/>
    <d v="1899-12-30T17:22:00"/>
    <n v="36.6"/>
    <n v="36.6"/>
    <s v="na"/>
    <m/>
  </r>
  <r>
    <n v="74"/>
    <s v="LSBI023"/>
    <s v="LCHA118"/>
    <x v="0"/>
    <x v="1"/>
    <d v="2023-02-01T00:00:00"/>
    <d v="2023-06-09T00:00:00"/>
    <n v="128"/>
    <s v="white"/>
    <x v="1"/>
    <n v="153"/>
    <n v="1"/>
    <n v="4"/>
    <n v="2"/>
    <n v="32.869999999999997"/>
    <n v="1.4716"/>
    <d v="1899-12-30T17:23:00"/>
    <n v="36.700000000000003"/>
    <n v="36.700000000000003"/>
    <s v="na"/>
    <m/>
  </r>
  <r>
    <n v="74"/>
    <s v="LSBI023"/>
    <s v="LCHA118"/>
    <x v="0"/>
    <x v="1"/>
    <d v="2023-02-01T00:00:00"/>
    <d v="2023-06-09T00:00:00"/>
    <n v="128"/>
    <s v="blue"/>
    <x v="0"/>
    <n v="144"/>
    <n v="1"/>
    <n v="4"/>
    <n v="2"/>
    <n v="30.53"/>
    <n v="0.98180000000000001"/>
    <d v="1899-12-30T17:27:00"/>
    <n v="36.799999999999997"/>
    <n v="36.799999999999997"/>
    <s v="na"/>
    <m/>
  </r>
  <r>
    <n v="74"/>
    <s v="LSBI023"/>
    <s v="LCHA118"/>
    <x v="0"/>
    <x v="1"/>
    <d v="2023-02-01T00:00:00"/>
    <d v="2023-06-09T00:00:00"/>
    <n v="128"/>
    <s v="white"/>
    <x v="1"/>
    <n v="153"/>
    <n v="1"/>
    <n v="4"/>
    <n v="4"/>
    <n v="33.11"/>
    <n v="1.4550000000000001"/>
    <d v="1899-12-30T17:27:00"/>
    <n v="36.799999999999997"/>
    <n v="36.799999999999997"/>
    <s v="na"/>
    <m/>
  </r>
  <r>
    <n v="74"/>
    <s v="LSBI023"/>
    <s v="LCHA118"/>
    <x v="0"/>
    <x v="1"/>
    <d v="2023-02-01T00:00:00"/>
    <d v="2023-06-09T00:00:00"/>
    <n v="128"/>
    <s v="white"/>
    <x v="1"/>
    <n v="153"/>
    <n v="1"/>
    <n v="4"/>
    <n v="5"/>
    <n v="33.1"/>
    <n v="1.5116000000000001"/>
    <d v="1899-12-30T17:27:00"/>
    <n v="36.799999999999997"/>
    <n v="36.799999999999997"/>
    <s v="na"/>
    <m/>
  </r>
  <r>
    <n v="74"/>
    <s v="LSBI023"/>
    <s v="LCHA118"/>
    <x v="0"/>
    <x v="1"/>
    <d v="2023-02-01T00:00:00"/>
    <d v="2023-06-09T00:00:00"/>
    <n v="128"/>
    <s v="blue"/>
    <x v="0"/>
    <n v="144"/>
    <n v="1"/>
    <n v="4"/>
    <n v="3"/>
    <n v="29.81"/>
    <n v="1.0435000000000001"/>
    <d v="1899-12-30T17:29:00"/>
    <n v="36.9"/>
    <n v="36.9"/>
    <s v="na"/>
    <m/>
  </r>
  <r>
    <n v="74"/>
    <s v="LSBI023"/>
    <s v="LCHA118"/>
    <x v="0"/>
    <x v="1"/>
    <d v="2023-02-01T00:00:00"/>
    <d v="2023-06-09T00:00:00"/>
    <n v="128"/>
    <s v="blue"/>
    <x v="0"/>
    <n v="144"/>
    <n v="1"/>
    <n v="4"/>
    <n v="1"/>
    <n v="31.65"/>
    <n v="1.2383"/>
    <d v="1899-12-30T17:30:00"/>
    <n v="36.9"/>
    <n v="36.9"/>
    <s v="na"/>
    <m/>
  </r>
  <r>
    <n v="74"/>
    <s v="LSBI023"/>
    <s v="LCHA118"/>
    <x v="0"/>
    <x v="1"/>
    <d v="2023-02-01T00:00:00"/>
    <d v="2023-06-09T00:00:00"/>
    <n v="128"/>
    <s v="blue"/>
    <x v="0"/>
    <n v="144"/>
    <n v="1"/>
    <n v="4"/>
    <n v="5"/>
    <n v="31.96"/>
    <n v="1.2475000000000001"/>
    <d v="1899-12-30T17:32:00"/>
    <n v="36.9"/>
    <n v="36.9"/>
    <s v="na"/>
    <m/>
  </r>
  <r>
    <n v="74"/>
    <s v="LSBI023"/>
    <s v="LCHA118"/>
    <x v="0"/>
    <x v="1"/>
    <d v="2023-02-01T00:00:00"/>
    <d v="2023-06-09T00:00:00"/>
    <n v="128"/>
    <s v="blue"/>
    <x v="0"/>
    <n v="144"/>
    <n v="1"/>
    <n v="4"/>
    <n v="4"/>
    <n v="34.93"/>
    <n v="1.7807999999999999"/>
    <d v="1899-12-30T17:36:00"/>
    <n v="37.1"/>
    <n v="37.1"/>
    <s v="na"/>
    <m/>
  </r>
  <r>
    <n v="74"/>
    <s v="LSBI023"/>
    <s v="LCHA118"/>
    <x v="0"/>
    <x v="1"/>
    <d v="2023-02-01T00:00:00"/>
    <d v="2023-06-09T00:00:00"/>
    <n v="128"/>
    <s v="red"/>
    <x v="2"/>
    <n v="227"/>
    <n v="2"/>
    <n v="4"/>
    <n v="2"/>
    <n v="26.05"/>
    <n v="0.7591"/>
    <d v="1899-12-30T17:36:00"/>
    <n v="37.1"/>
    <n v="37.1"/>
    <s v="na"/>
    <m/>
  </r>
  <r>
    <n v="74"/>
    <s v="LSBI023"/>
    <s v="LCHA118"/>
    <x v="0"/>
    <x v="1"/>
    <d v="2023-02-01T00:00:00"/>
    <d v="2023-06-09T00:00:00"/>
    <n v="128"/>
    <s v="red"/>
    <x v="2"/>
    <n v="227"/>
    <n v="2"/>
    <n v="4"/>
    <n v="3"/>
    <n v="25.85"/>
    <n v="0.70309999999999995"/>
    <d v="1899-12-30T17:36:00"/>
    <n v="37.1"/>
    <n v="37.1"/>
    <s v="na"/>
    <m/>
  </r>
  <r>
    <n v="74"/>
    <s v="LSBI023"/>
    <s v="LCHA118"/>
    <x v="0"/>
    <x v="1"/>
    <d v="2023-02-01T00:00:00"/>
    <d v="2023-06-09T00:00:00"/>
    <n v="128"/>
    <s v="red"/>
    <x v="2"/>
    <n v="227"/>
    <n v="2"/>
    <n v="4"/>
    <n v="1"/>
    <n v="26.87"/>
    <n v="0.79949999999999999"/>
    <d v="1899-12-30T17:41:00"/>
    <n v="37.1"/>
    <n v="37.1"/>
    <s v="na"/>
    <m/>
  </r>
  <r>
    <n v="74"/>
    <s v="LSBI023"/>
    <s v="LCHA118"/>
    <x v="0"/>
    <x v="1"/>
    <d v="2023-02-01T00:00:00"/>
    <d v="2023-06-09T00:00:00"/>
    <n v="128"/>
    <s v="red"/>
    <x v="2"/>
    <n v="227"/>
    <n v="2"/>
    <n v="4"/>
    <n v="4"/>
    <n v="33.94"/>
    <n v="1.4585999999999999"/>
    <d v="1899-12-30T17:41:00"/>
    <n v="37.1"/>
    <n v="37.1"/>
    <s v="na"/>
    <m/>
  </r>
  <r>
    <n v="74"/>
    <s v="LSBI023"/>
    <s v="LCHA118"/>
    <x v="0"/>
    <x v="1"/>
    <d v="2023-02-01T00:00:00"/>
    <d v="2023-06-09T00:00:00"/>
    <n v="128"/>
    <s v="red"/>
    <x v="2"/>
    <n v="227"/>
    <n v="2"/>
    <n v="4"/>
    <n v="5"/>
    <n v="31.81"/>
    <n v="1.2839"/>
    <d v="1899-12-30T17:49:00"/>
    <n v="37.15"/>
    <n v="37.15"/>
    <s v="na"/>
    <m/>
  </r>
  <r>
    <n v="56"/>
    <s v="CARL217"/>
    <s v="CARL226"/>
    <x v="1"/>
    <x v="4"/>
    <d v="2023-01-12T00:00:00"/>
    <d v="2023-06-06T00:00:00"/>
    <n v="145"/>
    <s v="red"/>
    <x v="2"/>
    <n v="225"/>
    <n v="2"/>
    <n v="4"/>
    <n v="1"/>
    <n v="31.78"/>
    <n v="1.155"/>
    <d v="1899-12-30T16:54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blue"/>
    <x v="0"/>
    <n v="244"/>
    <n v="1"/>
    <n v="4"/>
    <n v="1"/>
    <n v="31.49"/>
    <n v="1.1955"/>
    <d v="1899-12-30T16:54:00"/>
    <m/>
    <m/>
    <s v="na"/>
    <m/>
  </r>
  <r>
    <n v="56"/>
    <s v="CARL217"/>
    <s v="CARL226"/>
    <x v="1"/>
    <x v="4"/>
    <d v="2023-01-12T00:00:00"/>
    <d v="2023-06-06T00:00:00"/>
    <n v="145"/>
    <s v="blue"/>
    <x v="0"/>
    <n v="244"/>
    <n v="1"/>
    <n v="4"/>
    <n v="4"/>
    <n v="31.2"/>
    <n v="1.1858"/>
    <d v="1899-12-30T16:54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blue"/>
    <x v="0"/>
    <n v="244"/>
    <n v="1"/>
    <n v="4"/>
    <n v="5"/>
    <n v="26.25"/>
    <n v="0.66479999999999995"/>
    <d v="1899-12-30T16:54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blue"/>
    <x v="0"/>
    <n v="244"/>
    <n v="1"/>
    <n v="4"/>
    <n v="2"/>
    <n v="34.35"/>
    <n v="1.6626000000000001"/>
    <d v="1899-12-30T16:57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blue"/>
    <x v="0"/>
    <n v="244"/>
    <n v="1"/>
    <n v="4"/>
    <n v="3"/>
    <n v="30.6"/>
    <n v="1.1555"/>
    <d v="1899-12-30T16:57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white"/>
    <x v="1"/>
    <n v="131"/>
    <n v="2"/>
    <n v="4"/>
    <n v="1"/>
    <n v="34.54"/>
    <n v="1.6646000000000001"/>
    <d v="1899-12-30T16:57:00"/>
    <n v="36.799999999999997"/>
    <n v="36.799999999999997"/>
    <s v="na"/>
    <m/>
  </r>
  <r>
    <n v="56"/>
    <s v="CARL217"/>
    <s v="CARL226"/>
    <x v="1"/>
    <x v="4"/>
    <d v="2023-01-12T00:00:00"/>
    <d v="2023-06-06T00:00:00"/>
    <n v="145"/>
    <s v="white"/>
    <x v="1"/>
    <n v="131"/>
    <n v="2"/>
    <n v="4"/>
    <n v="2"/>
    <n v="34.51"/>
    <n v="1.5168999999999999"/>
    <d v="1899-12-30T17:08:00"/>
    <m/>
    <m/>
    <s v="na"/>
    <m/>
  </r>
  <r>
    <n v="56"/>
    <s v="CARL217"/>
    <s v="CARL226"/>
    <x v="1"/>
    <x v="4"/>
    <d v="2023-01-12T00:00:00"/>
    <d v="2023-06-06T00:00:00"/>
    <n v="145"/>
    <s v="red"/>
    <x v="2"/>
    <n v="225"/>
    <n v="2"/>
    <n v="4"/>
    <n v="4"/>
    <n v="30.58"/>
    <n v="1.1249"/>
    <d v="1899-12-30T17:09:00"/>
    <m/>
    <m/>
    <s v="na"/>
    <m/>
  </r>
  <r>
    <n v="56"/>
    <s v="CARL217"/>
    <s v="CARL226"/>
    <x v="1"/>
    <x v="4"/>
    <d v="2023-01-12T00:00:00"/>
    <d v="2023-06-06T00:00:00"/>
    <n v="145"/>
    <s v="red"/>
    <x v="2"/>
    <n v="225"/>
    <n v="2"/>
    <n v="4"/>
    <n v="2"/>
    <n v="32.81"/>
    <n v="1.4067000000000001"/>
    <d v="1899-12-30T17:12:00"/>
    <m/>
    <m/>
    <s v="na"/>
    <m/>
  </r>
  <r>
    <n v="56"/>
    <s v="CARL217"/>
    <s v="CARL226"/>
    <x v="1"/>
    <x v="4"/>
    <d v="2023-01-12T00:00:00"/>
    <d v="2023-06-06T00:00:00"/>
    <n v="145"/>
    <s v="red"/>
    <x v="2"/>
    <n v="225"/>
    <n v="2"/>
    <n v="4"/>
    <n v="5"/>
    <n v="34.54"/>
    <n v="1.6808000000000001"/>
    <d v="1899-12-30T17:12:00"/>
    <m/>
    <m/>
    <s v="na"/>
    <m/>
  </r>
  <r>
    <n v="56"/>
    <s v="CARL217"/>
    <s v="CARL226"/>
    <x v="1"/>
    <x v="4"/>
    <d v="2023-01-12T00:00:00"/>
    <d v="2023-06-06T00:00:00"/>
    <n v="145"/>
    <s v="red"/>
    <x v="2"/>
    <n v="225"/>
    <n v="2"/>
    <n v="4"/>
    <n v="3"/>
    <n v="33"/>
    <n v="1.4209000000000001"/>
    <d v="1899-12-30T17:19:30"/>
    <m/>
    <m/>
    <s v="na"/>
    <m/>
  </r>
  <r>
    <n v="56"/>
    <s v="CARL217"/>
    <s v="CARL226"/>
    <x v="1"/>
    <x v="4"/>
    <d v="2023-01-12T00:00:00"/>
    <d v="2023-06-06T00:00:00"/>
    <n v="145"/>
    <s v="white"/>
    <x v="1"/>
    <n v="131"/>
    <n v="2"/>
    <n v="4"/>
    <n v="3"/>
    <n v="35.840000000000003"/>
    <n v="1.8169999999999999"/>
    <d v="1899-12-30T17:19:30"/>
    <m/>
    <m/>
    <s v="na"/>
    <m/>
  </r>
  <r>
    <n v="56"/>
    <s v="CARL217"/>
    <s v="CARL226"/>
    <x v="1"/>
    <x v="4"/>
    <d v="2023-01-12T00:00:00"/>
    <d v="2023-06-06T00:00:00"/>
    <n v="145"/>
    <s v="white"/>
    <x v="1"/>
    <n v="131"/>
    <n v="2"/>
    <n v="4"/>
    <n v="4"/>
    <n v="34.49"/>
    <n v="1.6060000000000001"/>
    <d v="1899-12-30T17:19:30"/>
    <m/>
    <m/>
    <s v="na"/>
    <m/>
  </r>
  <r>
    <n v="56"/>
    <s v="CARL217"/>
    <s v="CARL226"/>
    <x v="1"/>
    <x v="4"/>
    <d v="2023-01-12T00:00:00"/>
    <d v="2023-06-06T00:00:00"/>
    <n v="145"/>
    <s v="white"/>
    <x v="1"/>
    <n v="131"/>
    <n v="2"/>
    <n v="4"/>
    <n v="5"/>
    <n v="27.17"/>
    <n v="0.80100000000000005"/>
    <d v="1899-12-30T17:19:30"/>
    <m/>
    <m/>
    <s v="na"/>
    <m/>
  </r>
  <r>
    <n v="56"/>
    <s v="CARL217"/>
    <s v="CARL226"/>
    <x v="1"/>
    <x v="4"/>
    <d v="2023-01-12T00:00:00"/>
    <d v="2023-06-01T00:00:00"/>
    <n v="140"/>
    <s v="red"/>
    <x v="0"/>
    <n v="137"/>
    <n v="2"/>
    <n v="4"/>
    <n v="2"/>
    <n v="38.75"/>
    <n v="1.9398"/>
    <d v="1899-12-30T18:26:00"/>
    <n v="37"/>
    <n v="37"/>
    <s v="na"/>
    <m/>
  </r>
  <r>
    <n v="56"/>
    <s v="CARL217"/>
    <s v="CARL226"/>
    <x v="1"/>
    <x v="4"/>
    <d v="2023-01-12T00:00:00"/>
    <d v="2023-06-01T00:00:00"/>
    <n v="140"/>
    <s v="red"/>
    <x v="0"/>
    <n v="137"/>
    <n v="2"/>
    <n v="4"/>
    <n v="5"/>
    <n v="32.49"/>
    <n v="1.2557"/>
    <d v="1899-12-30T18:26:00"/>
    <n v="37"/>
    <n v="37"/>
    <s v="na"/>
    <m/>
  </r>
  <r>
    <n v="56"/>
    <s v="CARL217"/>
    <s v="CARL226"/>
    <x v="1"/>
    <x v="4"/>
    <d v="2023-01-12T00:00:00"/>
    <d v="2023-06-01T00:00:00"/>
    <n v="140"/>
    <s v="red"/>
    <x v="0"/>
    <n v="137"/>
    <n v="2"/>
    <n v="4"/>
    <n v="1"/>
    <n v="33.24"/>
    <n v="1.3391999999999999"/>
    <d v="1899-12-30T18:29:00"/>
    <n v="37.1"/>
    <n v="37.1"/>
    <s v="na"/>
    <m/>
  </r>
  <r>
    <n v="56"/>
    <s v="CARL217"/>
    <s v="CARL226"/>
    <x v="1"/>
    <x v="4"/>
    <d v="2023-01-12T00:00:00"/>
    <d v="2023-06-01T00:00:00"/>
    <n v="140"/>
    <s v="red"/>
    <x v="0"/>
    <n v="137"/>
    <n v="2"/>
    <n v="4"/>
    <n v="3"/>
    <n v="31.88"/>
    <n v="1.1978"/>
    <d v="1899-12-30T18:29:00"/>
    <n v="37.1"/>
    <n v="37.1"/>
    <s v="na"/>
    <m/>
  </r>
  <r>
    <n v="56"/>
    <s v="CARL217"/>
    <s v="CARL226"/>
    <x v="1"/>
    <x v="4"/>
    <d v="2023-01-12T00:00:00"/>
    <d v="2023-06-01T00:00:00"/>
    <n v="140"/>
    <s v="red"/>
    <x v="0"/>
    <n v="137"/>
    <n v="2"/>
    <n v="4"/>
    <n v="4"/>
    <n v="35.47"/>
    <n v="1.7311000000000001"/>
    <d v="1899-12-30T18:29:00"/>
    <n v="37.1"/>
    <n v="37.1"/>
    <s v="na"/>
    <m/>
  </r>
  <r>
    <n v="56"/>
    <s v="CARL217"/>
    <s v="CARL226"/>
    <x v="1"/>
    <x v="4"/>
    <d v="2023-01-12T00:00:00"/>
    <d v="2023-06-01T00:00:00"/>
    <n v="140"/>
    <s v="white"/>
    <x v="1"/>
    <n v="253"/>
    <n v="1"/>
    <n v="4"/>
    <n v="3"/>
    <n v="26.4"/>
    <n v="0.56579999999999997"/>
    <d v="1899-12-30T18:29:00"/>
    <n v="37.1"/>
    <n v="37.1"/>
    <s v="na"/>
    <m/>
  </r>
  <r>
    <n v="56"/>
    <s v="CARL217"/>
    <s v="CARL226"/>
    <x v="1"/>
    <x v="4"/>
    <d v="2023-01-12T00:00:00"/>
    <d v="2023-06-01T00:00:00"/>
    <n v="140"/>
    <s v="white"/>
    <x v="1"/>
    <n v="253"/>
    <n v="1"/>
    <n v="4"/>
    <n v="5"/>
    <n v="31.38"/>
    <n v="1.0319"/>
    <d v="1899-12-30T18:46:00"/>
    <n v="37.299999999999997"/>
    <n v="37.299999999999997"/>
    <s v="na"/>
    <m/>
  </r>
  <r>
    <n v="56"/>
    <s v="CARL217"/>
    <s v="CARL226"/>
    <x v="1"/>
    <x v="4"/>
    <d v="2023-01-12T00:00:00"/>
    <d v="2023-06-01T00:00:00"/>
    <n v="140"/>
    <s v="blue"/>
    <x v="2"/>
    <n v="158"/>
    <n v="1"/>
    <n v="4"/>
    <n v="1"/>
    <n v="31.06"/>
    <n v="1.0102"/>
    <d v="1899-12-30T18:52:00"/>
    <n v="37.5"/>
    <n v="37.5"/>
    <s v="na"/>
    <m/>
  </r>
  <r>
    <n v="56"/>
    <s v="CARL217"/>
    <s v="CARL226"/>
    <x v="1"/>
    <x v="4"/>
    <d v="2023-01-12T00:00:00"/>
    <d v="2023-06-01T00:00:00"/>
    <n v="140"/>
    <s v="blue"/>
    <x v="2"/>
    <n v="158"/>
    <n v="1"/>
    <n v="4"/>
    <n v="5"/>
    <n v="33.020000000000003"/>
    <n v="1.3661000000000001"/>
    <d v="1899-12-30T18:57:00"/>
    <n v="37.5"/>
    <n v="37.5"/>
    <s v="na"/>
    <m/>
  </r>
  <r>
    <n v="56"/>
    <s v="CARL217"/>
    <s v="CARL226"/>
    <x v="1"/>
    <x v="4"/>
    <d v="2023-01-12T00:00:00"/>
    <d v="2023-06-01T00:00:00"/>
    <n v="140"/>
    <s v="blue"/>
    <x v="2"/>
    <n v="158"/>
    <n v="1"/>
    <n v="4"/>
    <n v="3"/>
    <n v="33.369999999999997"/>
    <n v="1.4272"/>
    <d v="1899-12-30T19:01:00"/>
    <n v="37.5"/>
    <n v="37.5"/>
    <s v="na"/>
    <m/>
  </r>
  <r>
    <n v="56"/>
    <s v="CARL217"/>
    <s v="CARL226"/>
    <x v="1"/>
    <x v="4"/>
    <d v="2023-01-12T00:00:00"/>
    <d v="2023-06-01T00:00:00"/>
    <n v="140"/>
    <s v="white"/>
    <x v="1"/>
    <n v="253"/>
    <n v="1"/>
    <n v="4"/>
    <n v="1"/>
    <n v="29.48"/>
    <n v="1.0542"/>
    <m/>
    <n v="37.299999999999997"/>
    <n v="37.299999999999997"/>
    <s v="na"/>
    <m/>
  </r>
  <r>
    <n v="56"/>
    <s v="CARL217"/>
    <s v="CARL226"/>
    <x v="1"/>
    <x v="4"/>
    <d v="2023-01-12T00:00:00"/>
    <d v="2023-06-01T00:00:00"/>
    <n v="140"/>
    <s v="white"/>
    <x v="1"/>
    <n v="253"/>
    <n v="1"/>
    <n v="4"/>
    <n v="2"/>
    <n v="30.9"/>
    <n v="1.1526000000000001"/>
    <m/>
    <n v="37.299999999999997"/>
    <n v="37.299999999999997"/>
    <s v="na"/>
    <m/>
  </r>
  <r>
    <n v="56"/>
    <s v="CARL217"/>
    <s v="CARL226"/>
    <x v="1"/>
    <x v="4"/>
    <d v="2023-01-12T00:00:00"/>
    <d v="2023-06-01T00:00:00"/>
    <n v="140"/>
    <s v="white"/>
    <x v="1"/>
    <n v="253"/>
    <n v="1"/>
    <n v="4"/>
    <n v="4"/>
    <n v="30.34"/>
    <n v="1.0465"/>
    <m/>
    <n v="37.299999999999997"/>
    <n v="37.299999999999997"/>
    <s v="na"/>
    <m/>
  </r>
  <r>
    <n v="56"/>
    <s v="CARL217"/>
    <s v="CARL226"/>
    <x v="1"/>
    <x v="4"/>
    <d v="2023-01-12T00:00:00"/>
    <d v="2023-06-01T00:00:00"/>
    <n v="140"/>
    <s v="blue"/>
    <x v="2"/>
    <n v="158"/>
    <n v="1"/>
    <n v="4"/>
    <n v="2"/>
    <n v="38.92"/>
    <n v="2.4285999999999999"/>
    <m/>
    <n v="37.5"/>
    <n v="37.5"/>
    <s v="na"/>
    <m/>
  </r>
  <r>
    <n v="56"/>
    <s v="CARL217"/>
    <s v="CARL226"/>
    <x v="1"/>
    <x v="4"/>
    <d v="2023-01-12T00:00:00"/>
    <d v="2023-06-01T00:00:00"/>
    <n v="140"/>
    <s v="blue"/>
    <x v="2"/>
    <n v="158"/>
    <n v="1"/>
    <n v="4"/>
    <n v="4"/>
    <n v="35.9"/>
    <n v="1.8052999999999999"/>
    <m/>
    <n v="37.6"/>
    <n v="37.6"/>
    <s v="na"/>
    <m/>
  </r>
  <r>
    <n v="65"/>
    <s v="LSBI028"/>
    <s v="LSBI027"/>
    <x v="0"/>
    <x v="3"/>
    <d v="2023-01-27T00:00:00"/>
    <d v="2023-06-06T00:00:00"/>
    <n v="130"/>
    <s v="red"/>
    <x v="2"/>
    <n v="126"/>
    <n v="2"/>
    <n v="5"/>
    <n v="1"/>
    <n v="31.52"/>
    <n v="1.2126999999999999"/>
    <d v="1899-12-30T17:04:00"/>
    <n v="36.933"/>
    <m/>
    <n v="36.933"/>
    <m/>
  </r>
  <r>
    <n v="65"/>
    <s v="LSBI028"/>
    <s v="LSBI027"/>
    <x v="0"/>
    <x v="3"/>
    <d v="2023-01-27T00:00:00"/>
    <d v="2023-06-06T00:00:00"/>
    <n v="130"/>
    <s v="red"/>
    <x v="2"/>
    <n v="126"/>
    <n v="2"/>
    <n v="5"/>
    <n v="4"/>
    <n v="30.05"/>
    <n v="1.0521"/>
    <d v="1899-12-30T17:04:00"/>
    <n v="36.933"/>
    <m/>
    <n v="36.933"/>
    <m/>
  </r>
  <r>
    <n v="65"/>
    <s v="LSBI028"/>
    <s v="LSBI027"/>
    <x v="0"/>
    <x v="3"/>
    <d v="2023-01-27T00:00:00"/>
    <d v="2023-06-06T00:00:00"/>
    <n v="130"/>
    <s v="white"/>
    <x v="1"/>
    <n v="232"/>
    <n v="2"/>
    <n v="5"/>
    <n v="3"/>
    <n v="34.43"/>
    <n v="1.6047"/>
    <d v="1899-12-30T17:04:00"/>
    <n v="36.933"/>
    <m/>
    <n v="36.933"/>
    <m/>
  </r>
  <r>
    <n v="65"/>
    <s v="LSBI028"/>
    <s v="LSBI027"/>
    <x v="0"/>
    <x v="3"/>
    <d v="2023-01-27T00:00:00"/>
    <d v="2023-06-06T00:00:00"/>
    <n v="130"/>
    <s v="blue"/>
    <x v="0"/>
    <n v="341"/>
    <n v="2"/>
    <n v="5"/>
    <n v="1"/>
    <n v="32.75"/>
    <n v="1.3322000000000001"/>
    <d v="1899-12-30T17:10:00"/>
    <n v="37.042000000000002"/>
    <m/>
    <n v="37.042000000000002"/>
    <m/>
  </r>
  <r>
    <n v="65"/>
    <s v="LSBI028"/>
    <s v="LSBI027"/>
    <x v="0"/>
    <x v="3"/>
    <d v="2023-01-27T00:00:00"/>
    <d v="2023-06-06T00:00:00"/>
    <n v="130"/>
    <s v="blue"/>
    <x v="0"/>
    <n v="341"/>
    <n v="2"/>
    <n v="5"/>
    <n v="2"/>
    <n v="38.94"/>
    <n v="2.1591"/>
    <d v="1899-12-30T17:10:00"/>
    <n v="37.042000000000002"/>
    <m/>
    <n v="37.042000000000002"/>
    <m/>
  </r>
  <r>
    <n v="65"/>
    <s v="LSBI028"/>
    <s v="LSBI027"/>
    <x v="0"/>
    <x v="3"/>
    <d v="2023-01-27T00:00:00"/>
    <d v="2023-06-06T00:00:00"/>
    <n v="130"/>
    <s v="blue"/>
    <x v="0"/>
    <n v="341"/>
    <n v="2"/>
    <n v="5"/>
    <n v="3"/>
    <n v="33.700000000000003"/>
    <n v="1.5189999999999999"/>
    <d v="1899-12-30T17:13:00"/>
    <n v="37.124000000000002"/>
    <m/>
    <n v="37.124000000000002"/>
    <m/>
  </r>
  <r>
    <n v="65"/>
    <s v="LSBI028"/>
    <s v="LSBI027"/>
    <x v="0"/>
    <x v="3"/>
    <d v="2023-01-27T00:00:00"/>
    <d v="2023-06-06T00:00:00"/>
    <n v="130"/>
    <s v="white"/>
    <x v="1"/>
    <n v="232"/>
    <n v="2"/>
    <n v="5"/>
    <n v="4"/>
    <n v="34.89"/>
    <n v="1.6669"/>
    <d v="1899-12-30T17:13:00"/>
    <n v="37.124000000000002"/>
    <m/>
    <n v="37.124000000000002"/>
    <m/>
  </r>
  <r>
    <n v="65"/>
    <s v="LSBI028"/>
    <s v="LSBI027"/>
    <x v="0"/>
    <x v="3"/>
    <d v="2023-01-27T00:00:00"/>
    <d v="2023-06-06T00:00:00"/>
    <n v="130"/>
    <s v="red"/>
    <x v="2"/>
    <n v="126"/>
    <n v="2"/>
    <n v="5"/>
    <n v="3"/>
    <n v="28.02"/>
    <n v="0.93600000000000005"/>
    <d v="1899-12-30T17:16:00"/>
    <n v="37.075500000000005"/>
    <n v="37"/>
    <n v="37.151000000000003"/>
    <n v="-0.15100000000000335"/>
  </r>
  <r>
    <n v="65"/>
    <s v="LSBI028"/>
    <s v="LSBI027"/>
    <x v="0"/>
    <x v="3"/>
    <d v="2023-01-27T00:00:00"/>
    <d v="2023-06-06T00:00:00"/>
    <n v="130"/>
    <s v="blue"/>
    <x v="0"/>
    <n v="341"/>
    <n v="2"/>
    <n v="5"/>
    <n v="5"/>
    <n v="34.69"/>
    <n v="1.5532999999999999"/>
    <d v="1899-12-30T17:18:00"/>
    <n v="37.189"/>
    <n v="37.200000000000003"/>
    <n v="37.177999999999997"/>
    <n v="2.2000000000005571E-2"/>
  </r>
  <r>
    <n v="65"/>
    <s v="LSBI028"/>
    <s v="LSBI027"/>
    <x v="0"/>
    <x v="3"/>
    <d v="2023-01-27T00:00:00"/>
    <d v="2023-06-06T00:00:00"/>
    <n v="130"/>
    <s v="white"/>
    <x v="1"/>
    <n v="232"/>
    <n v="2"/>
    <n v="5"/>
    <n v="2"/>
    <n v="26.28"/>
    <n v="0.73329999999999995"/>
    <d v="1899-12-30T17:18:00"/>
    <n v="37.189"/>
    <n v="37.200000000000003"/>
    <n v="37.177999999999997"/>
    <n v="2.2000000000005571E-2"/>
  </r>
  <r>
    <n v="65"/>
    <s v="LSBI028"/>
    <s v="LSBI027"/>
    <x v="0"/>
    <x v="3"/>
    <d v="2023-01-27T00:00:00"/>
    <d v="2023-06-06T00:00:00"/>
    <n v="130"/>
    <s v="white"/>
    <x v="1"/>
    <n v="232"/>
    <n v="2"/>
    <n v="5"/>
    <n v="5"/>
    <n v="31.5"/>
    <n v="1.2430000000000001"/>
    <d v="1899-12-30T17:18:00"/>
    <n v="37.189"/>
    <n v="37.200000000000003"/>
    <n v="37.177999999999997"/>
    <n v="2.2000000000005571E-2"/>
  </r>
  <r>
    <n v="65"/>
    <s v="LSBI028"/>
    <s v="LSBI027"/>
    <x v="0"/>
    <x v="3"/>
    <d v="2023-01-27T00:00:00"/>
    <d v="2023-06-06T00:00:00"/>
    <n v="130"/>
    <s v="blue"/>
    <x v="0"/>
    <n v="341"/>
    <n v="2"/>
    <n v="5"/>
    <n v="4"/>
    <n v="33.049999999999997"/>
    <n v="1.2928999999999999"/>
    <d v="1899-12-30T17:22:00"/>
    <n v="37.230500000000006"/>
    <n v="37.200000000000003"/>
    <n v="37.261000000000003"/>
    <n v="-6.0999999999999943E-2"/>
  </r>
  <r>
    <n v="65"/>
    <s v="LSBI028"/>
    <s v="LSBI027"/>
    <x v="0"/>
    <x v="3"/>
    <d v="2023-01-27T00:00:00"/>
    <d v="2023-06-06T00:00:00"/>
    <n v="130"/>
    <s v="red"/>
    <x v="2"/>
    <n v="126"/>
    <n v="2"/>
    <n v="5"/>
    <n v="2"/>
    <n v="27.96"/>
    <n v="0.84440000000000004"/>
    <d v="1899-12-30T17:24:00"/>
    <n v="37.293999999999997"/>
    <n v="37.299999999999997"/>
    <n v="37.287999999999997"/>
    <n v="1.2000000000000455E-2"/>
  </r>
  <r>
    <n v="65"/>
    <s v="LSBI028"/>
    <s v="LSBI027"/>
    <x v="0"/>
    <x v="3"/>
    <d v="2023-01-27T00:00:00"/>
    <d v="2023-06-06T00:00:00"/>
    <n v="130"/>
    <s v="red"/>
    <x v="2"/>
    <n v="126"/>
    <n v="2"/>
    <n v="5"/>
    <n v="5"/>
    <n v="20.62"/>
    <n v="0.3594"/>
    <d v="1899-12-30T17:28:00"/>
    <n v="37.334999999999994"/>
    <n v="37.299999999999997"/>
    <n v="37.369999999999997"/>
    <n v="-7.0000000000000284E-2"/>
  </r>
  <r>
    <n v="65"/>
    <s v="LSBI028"/>
    <s v="LSBI027"/>
    <x v="0"/>
    <x v="3"/>
    <d v="2023-01-27T00:00:00"/>
    <d v="2023-06-06T00:00:00"/>
    <n v="130"/>
    <s v="white"/>
    <x v="1"/>
    <n v="232"/>
    <n v="2"/>
    <n v="5"/>
    <n v="1"/>
    <s v="na"/>
    <s v="na"/>
    <s v="na"/>
    <m/>
    <s v="na"/>
    <s v="na"/>
    <m/>
  </r>
  <r>
    <n v="69"/>
    <s v="LCKM164"/>
    <s v="LCKM156"/>
    <x v="0"/>
    <x v="0"/>
    <d v="2023-01-30T00:00:00"/>
    <d v="2023-06-01T00:00:00"/>
    <n v="122"/>
    <s v="red"/>
    <x v="0"/>
    <n v="343"/>
    <n v="1"/>
    <n v="5"/>
    <n v="4"/>
    <n v="30.39"/>
    <n v="0.97109999999999996"/>
    <d v="1899-12-30T18:30:00"/>
    <n v="37.1"/>
    <n v="37.1"/>
    <s v="na"/>
    <m/>
  </r>
  <r>
    <n v="69"/>
    <s v="LCKM164"/>
    <s v="LCKM156"/>
    <x v="0"/>
    <x v="0"/>
    <d v="2023-01-30T00:00:00"/>
    <d v="2023-06-01T00:00:00"/>
    <n v="122"/>
    <s v="white"/>
    <x v="1"/>
    <n v="352"/>
    <n v="1"/>
    <n v="5"/>
    <n v="4"/>
    <n v="35.11"/>
    <n v="1.4966999999999999"/>
    <d v="1899-12-30T18:48:00"/>
    <n v="37.4"/>
    <n v="37.4"/>
    <s v="na"/>
    <m/>
  </r>
  <r>
    <n v="69"/>
    <s v="LCKM164"/>
    <s v="LCKM156"/>
    <x v="0"/>
    <x v="0"/>
    <d v="2023-01-30T00:00:00"/>
    <d v="2023-06-01T00:00:00"/>
    <n v="122"/>
    <s v="blue"/>
    <x v="2"/>
    <n v="259"/>
    <n v="1"/>
    <n v="5"/>
    <n v="1"/>
    <n v="29.43"/>
    <n v="0.93669999999999998"/>
    <d v="1899-12-30T18:48:00"/>
    <n v="37.4"/>
    <n v="37.4"/>
    <s v="na"/>
    <m/>
  </r>
  <r>
    <n v="69"/>
    <s v="LCKM164"/>
    <s v="LCKM156"/>
    <x v="0"/>
    <x v="0"/>
    <d v="2023-01-30T00:00:00"/>
    <d v="2023-06-01T00:00:00"/>
    <n v="122"/>
    <s v="blue"/>
    <x v="2"/>
    <n v="259"/>
    <n v="1"/>
    <n v="5"/>
    <n v="4"/>
    <n v="28.06"/>
    <n v="0.82869999999999999"/>
    <d v="1899-12-30T18:48:00"/>
    <n v="37.4"/>
    <n v="37.4"/>
    <s v="na"/>
    <m/>
  </r>
  <r>
    <n v="69"/>
    <s v="LCKM164"/>
    <s v="LCKM156"/>
    <x v="0"/>
    <x v="0"/>
    <d v="2023-01-30T00:00:00"/>
    <d v="2023-06-01T00:00:00"/>
    <n v="122"/>
    <s v="blue"/>
    <x v="2"/>
    <n v="259"/>
    <n v="1"/>
    <n v="5"/>
    <n v="5"/>
    <n v="31.95"/>
    <n v="1.2339"/>
    <d v="1899-12-30T18:51:00"/>
    <n v="37.4"/>
    <n v="37.4"/>
    <s v="na"/>
    <m/>
  </r>
  <r>
    <n v="69"/>
    <s v="LCKM164"/>
    <s v="LCKM156"/>
    <x v="0"/>
    <x v="0"/>
    <d v="2023-01-30T00:00:00"/>
    <d v="2023-06-01T00:00:00"/>
    <n v="122"/>
    <s v="red"/>
    <x v="0"/>
    <n v="343"/>
    <n v="1"/>
    <n v="5"/>
    <n v="1"/>
    <n v="35.47"/>
    <n v="1.5508"/>
    <m/>
    <n v="37.4"/>
    <n v="37.4"/>
    <s v="na"/>
    <m/>
  </r>
  <r>
    <n v="69"/>
    <s v="LCKM164"/>
    <s v="LCKM156"/>
    <x v="0"/>
    <x v="0"/>
    <d v="2023-01-30T00:00:00"/>
    <d v="2023-06-01T00:00:00"/>
    <n v="122"/>
    <s v="red"/>
    <x v="0"/>
    <n v="343"/>
    <n v="1"/>
    <n v="5"/>
    <n v="2"/>
    <n v="32.549999999999997"/>
    <n v="1.2067000000000001"/>
    <m/>
    <n v="37.1"/>
    <n v="37.1"/>
    <s v="na"/>
    <m/>
  </r>
  <r>
    <n v="69"/>
    <s v="LCKM164"/>
    <s v="LCKM156"/>
    <x v="0"/>
    <x v="0"/>
    <d v="2023-01-30T00:00:00"/>
    <d v="2023-06-01T00:00:00"/>
    <n v="122"/>
    <s v="red"/>
    <x v="0"/>
    <n v="343"/>
    <n v="1"/>
    <n v="5"/>
    <n v="3"/>
    <n v="31.57"/>
    <n v="1.1508"/>
    <m/>
    <n v="37.4"/>
    <n v="37.4"/>
    <s v="na"/>
    <m/>
  </r>
  <r>
    <n v="69"/>
    <s v="LCKM164"/>
    <s v="LCKM156"/>
    <x v="0"/>
    <x v="0"/>
    <d v="2023-01-30T00:00:00"/>
    <d v="2023-06-01T00:00:00"/>
    <n v="122"/>
    <s v="red"/>
    <x v="0"/>
    <n v="343"/>
    <n v="1"/>
    <n v="5"/>
    <n v="5"/>
    <n v="33.950000000000003"/>
    <n v="1.4866999999999999"/>
    <m/>
    <n v="37.1"/>
    <n v="37.1"/>
    <s v="na"/>
    <m/>
  </r>
  <r>
    <n v="69"/>
    <s v="LCKM164"/>
    <s v="LCKM156"/>
    <x v="0"/>
    <x v="0"/>
    <d v="2023-01-30T00:00:00"/>
    <d v="2023-06-01T00:00:00"/>
    <n v="122"/>
    <s v="white"/>
    <x v="1"/>
    <n v="352"/>
    <n v="1"/>
    <n v="5"/>
    <n v="1"/>
    <n v="33.25"/>
    <n v="1.2694000000000001"/>
    <m/>
    <n v="37.4"/>
    <n v="37.4"/>
    <s v="na"/>
    <m/>
  </r>
  <r>
    <n v="69"/>
    <s v="LCKM164"/>
    <s v="LCKM156"/>
    <x v="0"/>
    <x v="0"/>
    <d v="2023-01-30T00:00:00"/>
    <d v="2023-06-01T00:00:00"/>
    <n v="122"/>
    <s v="white"/>
    <x v="1"/>
    <n v="352"/>
    <n v="1"/>
    <n v="5"/>
    <n v="2"/>
    <n v="29.05"/>
    <n v="0.95620000000000005"/>
    <m/>
    <n v="37.4"/>
    <n v="37.4"/>
    <s v="na"/>
    <m/>
  </r>
  <r>
    <n v="69"/>
    <s v="LCKM164"/>
    <s v="LCKM156"/>
    <x v="0"/>
    <x v="0"/>
    <d v="2023-01-30T00:00:00"/>
    <d v="2023-06-01T00:00:00"/>
    <n v="122"/>
    <s v="white"/>
    <x v="1"/>
    <n v="352"/>
    <n v="1"/>
    <n v="5"/>
    <n v="3"/>
    <n v="35.130000000000003"/>
    <n v="1.6102000000000001"/>
    <m/>
    <n v="37.4"/>
    <n v="37.4"/>
    <s v="na"/>
    <m/>
  </r>
  <r>
    <n v="69"/>
    <s v="LCKM164"/>
    <s v="LCKM156"/>
    <x v="0"/>
    <x v="0"/>
    <d v="2023-01-30T00:00:00"/>
    <d v="2023-06-01T00:00:00"/>
    <n v="122"/>
    <s v="white"/>
    <x v="1"/>
    <n v="352"/>
    <n v="1"/>
    <n v="5"/>
    <n v="5"/>
    <n v="32.14"/>
    <n v="1.1043000000000001"/>
    <m/>
    <n v="37.299999999999997"/>
    <n v="37.299999999999997"/>
    <s v="na"/>
    <m/>
  </r>
  <r>
    <n v="69"/>
    <s v="LCKM164"/>
    <s v="LCKM156"/>
    <x v="0"/>
    <x v="0"/>
    <d v="2023-01-30T00:00:00"/>
    <d v="2023-06-01T00:00:00"/>
    <n v="122"/>
    <s v="blue"/>
    <x v="2"/>
    <n v="259"/>
    <n v="1"/>
    <n v="5"/>
    <n v="2"/>
    <n v="29.59"/>
    <n v="0.9244"/>
    <m/>
    <n v="37.4"/>
    <n v="37.4"/>
    <s v="na"/>
    <m/>
  </r>
  <r>
    <n v="69"/>
    <s v="LCKM164"/>
    <s v="LCKM156"/>
    <x v="0"/>
    <x v="0"/>
    <d v="2023-01-30T00:00:00"/>
    <d v="2023-06-01T00:00:00"/>
    <n v="122"/>
    <s v="blue"/>
    <x v="2"/>
    <n v="259"/>
    <n v="1"/>
    <n v="5"/>
    <n v="3"/>
    <n v="29.77"/>
    <n v="0.95299999999999996"/>
    <m/>
    <n v="37.4"/>
    <n v="37.4"/>
    <s v="na"/>
    <m/>
  </r>
  <r>
    <n v="87"/>
    <s v="CRUS426"/>
    <s v="CRUS360"/>
    <x v="1"/>
    <x v="2"/>
    <d v="2023-02-16T00:00:00"/>
    <d v="2023-06-06T00:00:00"/>
    <n v="110"/>
    <s v="blue"/>
    <x v="0"/>
    <n v="340"/>
    <n v="2"/>
    <n v="6"/>
    <n v="1"/>
    <n v="33.130000000000003"/>
    <n v="1.3884000000000001"/>
    <d v="1899-12-30T17:05:00"/>
    <m/>
    <m/>
    <s v="na"/>
    <m/>
  </r>
  <r>
    <n v="87"/>
    <s v="CRUS426"/>
    <s v="CRUS360"/>
    <x v="1"/>
    <x v="2"/>
    <d v="2023-02-16T00:00:00"/>
    <d v="2023-06-06T00:00:00"/>
    <n v="110"/>
    <s v="blue"/>
    <x v="0"/>
    <n v="340"/>
    <n v="2"/>
    <n v="6"/>
    <n v="2"/>
    <n v="27.3"/>
    <n v="0.80879999999999996"/>
    <d v="1899-12-30T17:05:00"/>
    <m/>
    <m/>
    <s v="na"/>
    <m/>
  </r>
  <r>
    <n v="87"/>
    <s v="CRUS426"/>
    <s v="CRUS360"/>
    <x v="1"/>
    <x v="2"/>
    <d v="2023-02-16T00:00:00"/>
    <d v="2023-06-06T00:00:00"/>
    <n v="110"/>
    <s v="blue"/>
    <x v="0"/>
    <n v="340"/>
    <n v="2"/>
    <n v="6"/>
    <n v="3"/>
    <n v="30.03"/>
    <n v="1.0628"/>
    <d v="1899-12-30T17:05:00"/>
    <m/>
    <m/>
    <s v="na"/>
    <m/>
  </r>
  <r>
    <n v="87"/>
    <s v="CRUS426"/>
    <s v="CRUS360"/>
    <x v="1"/>
    <x v="2"/>
    <d v="2023-02-16T00:00:00"/>
    <d v="2023-06-06T00:00:00"/>
    <n v="110"/>
    <s v="blue"/>
    <x v="0"/>
    <n v="340"/>
    <n v="2"/>
    <n v="6"/>
    <n v="4"/>
    <n v="31.7"/>
    <n v="1.2327999999999999"/>
    <d v="1899-12-30T17:05:00"/>
    <m/>
    <m/>
    <s v="na"/>
    <m/>
  </r>
  <r>
    <n v="87"/>
    <s v="CRUS426"/>
    <s v="CRUS360"/>
    <x v="1"/>
    <x v="2"/>
    <d v="2023-02-16T00:00:00"/>
    <d v="2023-06-06T00:00:00"/>
    <n v="110"/>
    <s v="blue"/>
    <x v="0"/>
    <n v="340"/>
    <n v="2"/>
    <n v="6"/>
    <n v="5"/>
    <n v="33.01"/>
    <n v="1.4717"/>
    <d v="1899-12-30T17:09:30"/>
    <m/>
    <m/>
    <s v="na"/>
    <m/>
  </r>
  <r>
    <n v="87"/>
    <s v="CRUS426"/>
    <s v="CRUS360"/>
    <x v="1"/>
    <x v="2"/>
    <d v="2023-02-16T00:00:00"/>
    <d v="2023-06-06T00:00:00"/>
    <n v="110"/>
    <s v="white"/>
    <x v="1"/>
    <n v="334"/>
    <n v="2"/>
    <n v="6"/>
    <n v="1"/>
    <n v="28.24"/>
    <n v="0.82730000000000004"/>
    <d v="1899-12-30T17:09:30"/>
    <m/>
    <m/>
    <s v="na"/>
    <m/>
  </r>
  <r>
    <n v="87"/>
    <s v="CRUS426"/>
    <s v="CRUS360"/>
    <x v="1"/>
    <x v="2"/>
    <d v="2023-02-16T00:00:00"/>
    <d v="2023-06-06T00:00:00"/>
    <n v="110"/>
    <s v="white"/>
    <x v="1"/>
    <n v="334"/>
    <n v="2"/>
    <n v="6"/>
    <n v="2"/>
    <n v="28.62"/>
    <n v="1.0142"/>
    <d v="1899-12-30T17:09:30"/>
    <m/>
    <m/>
    <s v="na"/>
    <m/>
  </r>
  <r>
    <n v="87"/>
    <s v="CRUS426"/>
    <s v="CRUS360"/>
    <x v="1"/>
    <x v="2"/>
    <d v="2023-02-16T00:00:00"/>
    <d v="2023-06-06T00:00:00"/>
    <n v="110"/>
    <s v="white"/>
    <x v="1"/>
    <n v="334"/>
    <n v="2"/>
    <n v="6"/>
    <n v="3"/>
    <n v="30.43"/>
    <n v="1.1564000000000001"/>
    <d v="1899-12-30T17:09:30"/>
    <m/>
    <m/>
    <s v="na"/>
    <m/>
  </r>
  <r>
    <n v="87"/>
    <s v="CRUS426"/>
    <s v="CRUS360"/>
    <x v="1"/>
    <x v="2"/>
    <d v="2023-02-16T00:00:00"/>
    <d v="2023-06-06T00:00:00"/>
    <n v="110"/>
    <s v="white"/>
    <x v="1"/>
    <n v="334"/>
    <n v="2"/>
    <n v="6"/>
    <n v="4"/>
    <n v="29.98"/>
    <n v="1.0779000000000001"/>
    <d v="1899-12-30T17:09:30"/>
    <m/>
    <m/>
    <s v="na"/>
    <m/>
  </r>
  <r>
    <n v="87"/>
    <s v="CRUS426"/>
    <s v="CRUS360"/>
    <x v="1"/>
    <x v="2"/>
    <d v="2023-02-16T00:00:00"/>
    <d v="2023-06-06T00:00:00"/>
    <n v="110"/>
    <s v="white"/>
    <x v="1"/>
    <n v="334"/>
    <n v="2"/>
    <n v="6"/>
    <n v="5"/>
    <n v="29.62"/>
    <n v="1.0761000000000001"/>
    <d v="1899-12-30T17:09:30"/>
    <m/>
    <m/>
    <s v="na"/>
    <m/>
  </r>
  <r>
    <n v="87"/>
    <s v="CRUS426"/>
    <s v="CRUS360"/>
    <x v="1"/>
    <x v="2"/>
    <d v="2023-02-16T00:00:00"/>
    <d v="2023-06-06T00:00:00"/>
    <n v="110"/>
    <s v="red"/>
    <x v="2"/>
    <n v="125"/>
    <n v="2"/>
    <n v="6"/>
    <n v="1"/>
    <n v="31.72"/>
    <n v="1.4655"/>
    <d v="1899-12-30T17:17:00"/>
    <m/>
    <m/>
    <s v="na"/>
    <m/>
  </r>
  <r>
    <n v="87"/>
    <s v="CRUS426"/>
    <s v="CRUS360"/>
    <x v="1"/>
    <x v="2"/>
    <d v="2023-02-16T00:00:00"/>
    <d v="2023-06-06T00:00:00"/>
    <n v="110"/>
    <s v="red"/>
    <x v="2"/>
    <n v="125"/>
    <n v="2"/>
    <n v="6"/>
    <n v="5"/>
    <n v="34.340000000000003"/>
    <n v="1.6709000000000001"/>
    <d v="1899-12-30T17:17:00"/>
    <m/>
    <m/>
    <s v="na"/>
    <m/>
  </r>
  <r>
    <n v="87"/>
    <s v="CRUS426"/>
    <s v="CRUS360"/>
    <x v="1"/>
    <x v="2"/>
    <d v="2023-02-16T00:00:00"/>
    <d v="2023-06-06T00:00:00"/>
    <n v="110"/>
    <s v="red"/>
    <x v="2"/>
    <n v="125"/>
    <n v="2"/>
    <n v="6"/>
    <n v="2"/>
    <n v="30.29"/>
    <n v="1.2727999999999999"/>
    <d v="1899-12-30T17:21:00"/>
    <n v="37.299999999999997"/>
    <n v="37.299999999999997"/>
    <s v="na"/>
    <m/>
  </r>
  <r>
    <n v="87"/>
    <s v="CRUS426"/>
    <s v="CRUS360"/>
    <x v="1"/>
    <x v="2"/>
    <d v="2023-02-16T00:00:00"/>
    <d v="2023-06-06T00:00:00"/>
    <n v="110"/>
    <s v="red"/>
    <x v="2"/>
    <n v="125"/>
    <n v="2"/>
    <n v="6"/>
    <n v="3"/>
    <n v="26.85"/>
    <n v="0.79459999999999997"/>
    <d v="1899-12-30T17:21:00"/>
    <n v="37.299999999999997"/>
    <n v="37.299999999999997"/>
    <s v="na"/>
    <m/>
  </r>
  <r>
    <n v="87"/>
    <s v="CRUS426"/>
    <s v="CRUS360"/>
    <x v="1"/>
    <x v="2"/>
    <d v="2023-02-16T00:00:00"/>
    <d v="2023-06-06T00:00:00"/>
    <n v="110"/>
    <s v="red"/>
    <x v="2"/>
    <n v="125"/>
    <n v="2"/>
    <n v="6"/>
    <n v="4"/>
    <n v="30.46"/>
    <n v="1.1372"/>
    <d v="1899-12-30T17:21:00"/>
    <n v="37.299999999999997"/>
    <n v="37.299999999999997"/>
    <s v="na"/>
    <m/>
  </r>
  <r>
    <n v="60"/>
    <s v="LCKM159"/>
    <s v="LCKM155"/>
    <x v="0"/>
    <x v="0"/>
    <d v="2023-01-17T00:00:00"/>
    <d v="2023-06-01T00:00:00"/>
    <n v="135"/>
    <s v="red"/>
    <x v="0"/>
    <n v="337"/>
    <n v="2"/>
    <n v="6"/>
    <n v="4"/>
    <n v="27.77"/>
    <n v="0.71199999999999997"/>
    <d v="1899-12-30T18:15:00"/>
    <n v="36.9"/>
    <n v="36.9"/>
    <s v="na"/>
    <m/>
  </r>
  <r>
    <n v="60"/>
    <s v="LCKM159"/>
    <s v="LCKM155"/>
    <x v="0"/>
    <x v="0"/>
    <d v="2023-01-17T00:00:00"/>
    <d v="2023-06-01T00:00:00"/>
    <n v="135"/>
    <s v="red"/>
    <x v="0"/>
    <n v="337"/>
    <n v="2"/>
    <n v="6"/>
    <n v="3"/>
    <n v="33.14"/>
    <n v="1.3259000000000001"/>
    <d v="1899-12-30T18:19:00"/>
    <n v="37"/>
    <n v="37"/>
    <s v="na"/>
    <m/>
  </r>
  <r>
    <n v="60"/>
    <s v="LCKM159"/>
    <s v="LCKM155"/>
    <x v="0"/>
    <x v="0"/>
    <d v="2023-01-17T00:00:00"/>
    <d v="2023-06-01T00:00:00"/>
    <n v="135"/>
    <s v="red"/>
    <x v="0"/>
    <n v="337"/>
    <n v="2"/>
    <n v="6"/>
    <n v="1"/>
    <n v="37.659999999999997"/>
    <n v="1.6032"/>
    <d v="1899-12-30T18:20:00"/>
    <n v="37"/>
    <n v="37"/>
    <s v="na"/>
    <m/>
  </r>
  <r>
    <n v="60"/>
    <s v="LCKM159"/>
    <s v="LCKM155"/>
    <x v="0"/>
    <x v="0"/>
    <d v="2023-01-17T00:00:00"/>
    <d v="2023-06-01T00:00:00"/>
    <n v="135"/>
    <s v="red"/>
    <x v="0"/>
    <n v="337"/>
    <n v="2"/>
    <n v="6"/>
    <n v="2"/>
    <n v="34.06"/>
    <n v="1.4123000000000001"/>
    <d v="1899-12-30T18:20:00"/>
    <n v="37"/>
    <n v="37"/>
    <s v="na"/>
    <m/>
  </r>
  <r>
    <n v="60"/>
    <s v="LCKM159"/>
    <s v="LCKM155"/>
    <x v="0"/>
    <x v="0"/>
    <d v="2023-01-17T00:00:00"/>
    <d v="2023-06-01T00:00:00"/>
    <n v="135"/>
    <s v="red"/>
    <x v="0"/>
    <n v="337"/>
    <n v="2"/>
    <n v="6"/>
    <n v="5"/>
    <n v="32.96"/>
    <n v="1.3392999999999999"/>
    <d v="1899-12-30T18:22:00"/>
    <n v="37"/>
    <n v="37"/>
    <s v="na"/>
    <m/>
  </r>
  <r>
    <n v="60"/>
    <s v="LCKM159"/>
    <s v="LCKM155"/>
    <x v="0"/>
    <x v="0"/>
    <d v="2023-01-17T00:00:00"/>
    <d v="2023-06-01T00:00:00"/>
    <n v="135"/>
    <s v="white"/>
    <x v="1"/>
    <n v="152"/>
    <n v="1"/>
    <n v="6"/>
    <n v="5"/>
    <n v="26.52"/>
    <n v="0.71899999999999997"/>
    <d v="1899-12-30T18:22:00"/>
    <n v="37"/>
    <n v="37"/>
    <s v="na"/>
    <m/>
  </r>
  <r>
    <n v="60"/>
    <s v="LCKM159"/>
    <s v="LCKM155"/>
    <x v="0"/>
    <x v="0"/>
    <d v="2023-01-17T00:00:00"/>
    <d v="2023-06-01T00:00:00"/>
    <n v="135"/>
    <s v="blue"/>
    <x v="2"/>
    <n v="357"/>
    <n v="1"/>
    <n v="6"/>
    <n v="2"/>
    <n v="31.04"/>
    <n v="1.1524000000000001"/>
    <d v="1899-12-30T18:24:00"/>
    <n v="37.4"/>
    <n v="37.4"/>
    <s v="na"/>
    <m/>
  </r>
  <r>
    <n v="60"/>
    <s v="LCKM159"/>
    <s v="LCKM155"/>
    <x v="0"/>
    <x v="0"/>
    <d v="2023-01-17T00:00:00"/>
    <d v="2023-06-01T00:00:00"/>
    <n v="135"/>
    <s v="blue"/>
    <x v="2"/>
    <n v="357"/>
    <n v="1"/>
    <n v="6"/>
    <n v="5"/>
    <n v="26.08"/>
    <n v="0.57110000000000005"/>
    <d v="1899-12-30T18:26:00"/>
    <n v="37.1"/>
    <n v="37.1"/>
    <s v="na"/>
    <m/>
  </r>
  <r>
    <n v="60"/>
    <s v="LCKM159"/>
    <s v="LCKM155"/>
    <x v="0"/>
    <x v="0"/>
    <d v="2023-01-17T00:00:00"/>
    <d v="2023-06-01T00:00:00"/>
    <n v="135"/>
    <s v="white"/>
    <x v="1"/>
    <n v="152"/>
    <n v="1"/>
    <n v="6"/>
    <n v="3"/>
    <n v="35.520000000000003"/>
    <n v="1.7292000000000001"/>
    <d v="1899-12-30T18:29:00"/>
    <n v="37.1"/>
    <n v="37.1"/>
    <s v="na"/>
    <m/>
  </r>
  <r>
    <n v="60"/>
    <s v="LCKM159"/>
    <s v="LCKM155"/>
    <x v="0"/>
    <x v="0"/>
    <d v="2023-01-17T00:00:00"/>
    <d v="2023-06-01T00:00:00"/>
    <n v="135"/>
    <s v="white"/>
    <x v="1"/>
    <n v="152"/>
    <n v="1"/>
    <n v="6"/>
    <n v="4"/>
    <n v="35.24"/>
    <n v="1.7748999999999999"/>
    <d v="1899-12-30T18:36:00"/>
    <n v="37.299999999999997"/>
    <n v="37.299999999999997"/>
    <s v="na"/>
    <m/>
  </r>
  <r>
    <n v="60"/>
    <s v="LCKM159"/>
    <s v="LCKM155"/>
    <x v="0"/>
    <x v="0"/>
    <d v="2023-01-17T00:00:00"/>
    <d v="2023-06-01T00:00:00"/>
    <n v="135"/>
    <s v="white"/>
    <x v="1"/>
    <n v="152"/>
    <n v="1"/>
    <n v="6"/>
    <n v="2"/>
    <n v="29.8"/>
    <n v="1.0305"/>
    <d v="1899-12-30T18:38:00"/>
    <n v="37.299999999999997"/>
    <n v="37.299999999999997"/>
    <s v="na"/>
    <m/>
  </r>
  <r>
    <n v="60"/>
    <s v="LCKM159"/>
    <s v="LCKM155"/>
    <x v="0"/>
    <x v="0"/>
    <d v="2023-01-17T00:00:00"/>
    <d v="2023-06-01T00:00:00"/>
    <n v="135"/>
    <s v="blue"/>
    <x v="2"/>
    <n v="357"/>
    <n v="1"/>
    <n v="6"/>
    <n v="3"/>
    <n v="28.13"/>
    <n v="0.86050000000000004"/>
    <d v="1899-12-30T18:38:00"/>
    <n v="37.299999999999997"/>
    <n v="37.299999999999997"/>
    <s v="na"/>
    <m/>
  </r>
  <r>
    <n v="60"/>
    <s v="LCKM159"/>
    <s v="LCKM155"/>
    <x v="0"/>
    <x v="0"/>
    <d v="2023-01-17T00:00:00"/>
    <d v="2023-06-01T00:00:00"/>
    <n v="135"/>
    <s v="blue"/>
    <x v="2"/>
    <n v="357"/>
    <n v="1"/>
    <n v="6"/>
    <n v="4"/>
    <n v="27.5"/>
    <n v="0.73280000000000001"/>
    <d v="1899-12-30T18:38:00"/>
    <n v="37.299999999999997"/>
    <n v="37.299999999999997"/>
    <s v="na"/>
    <m/>
  </r>
  <r>
    <n v="60"/>
    <s v="LCKM159"/>
    <s v="LCKM155"/>
    <x v="0"/>
    <x v="0"/>
    <d v="2023-01-17T00:00:00"/>
    <d v="2023-06-01T00:00:00"/>
    <n v="135"/>
    <s v="white"/>
    <x v="1"/>
    <n v="152"/>
    <n v="1"/>
    <n v="6"/>
    <n v="1"/>
    <s v="na"/>
    <s v="na"/>
    <m/>
    <m/>
    <m/>
    <s v="na"/>
    <m/>
  </r>
  <r>
    <n v="60"/>
    <s v="LCKM159"/>
    <s v="LCKM155"/>
    <x v="0"/>
    <x v="0"/>
    <d v="2023-01-17T00:00:00"/>
    <d v="2023-06-01T00:00:00"/>
    <n v="135"/>
    <s v="blue"/>
    <x v="2"/>
    <n v="357"/>
    <n v="1"/>
    <n v="6"/>
    <n v="1"/>
    <n v="29.95"/>
    <n v="1.0333000000000001"/>
    <m/>
    <n v="37.299999999999997"/>
    <n v="37.299999999999997"/>
    <s v="na"/>
    <m/>
  </r>
  <r>
    <m/>
    <m/>
    <m/>
    <x v="2"/>
    <x v="5"/>
    <m/>
    <m/>
    <m/>
    <m/>
    <x v="3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n v="56"/>
    <s v="CARL217"/>
    <s v="CARL226"/>
    <x v="0"/>
    <s v="Arlington Reef"/>
    <d v="2023-01-12T00:00:00"/>
    <d v="2023-06-01T00:00:00"/>
    <n v="140"/>
    <s v="na"/>
    <x v="0"/>
    <n v="137"/>
    <n v="2"/>
    <s v="na"/>
    <s v="na"/>
    <n v="34.33"/>
    <n v="1.3285"/>
    <d v="1899-12-30T12:17:20"/>
    <s v="na"/>
    <s v="na"/>
    <s v="na"/>
    <s v="na"/>
    <s v="na"/>
    <e v="#VALUE!"/>
    <s v="na"/>
    <s v="na"/>
    <s v="na"/>
    <n v="34.9"/>
  </r>
  <r>
    <n v="102"/>
    <s v="LSBI034"/>
    <s v="LCHA120"/>
    <x v="1"/>
    <s v="Chauvel Reef/St. Bee's Island"/>
    <d v="2023-02-27T00:00:00"/>
    <d v="2023-07-12T00:00:00"/>
    <n v="135"/>
    <s v="red"/>
    <x v="0"/>
    <n v="240"/>
    <n v="1"/>
    <n v="4"/>
    <n v="5"/>
    <n v="29.74"/>
    <n v="1.0710999999999999"/>
    <d v="1899-12-30T12:13:52"/>
    <d v="1899-12-30T17:52:00"/>
    <m/>
    <n v="36.5"/>
    <n v="36.524999999999999"/>
    <n v="2.4999999999998579E-2"/>
    <s v="5:38:08"/>
    <n v="0.06"/>
    <n v="36.464999999999996"/>
    <n v="-3.5000000000003695E-2"/>
    <n v="36.482500000000002"/>
  </r>
  <r>
    <n v="74"/>
    <s v="LSBI023"/>
    <s v="LCHA118"/>
    <x v="1"/>
    <s v="Chauvel Reef/St. Bee's Island"/>
    <d v="2023-02-01T00:00:00"/>
    <d v="2023-06-16T00:00:00"/>
    <n v="135"/>
    <s v="na"/>
    <x v="0"/>
    <n v="144"/>
    <n v="1"/>
    <s v="na"/>
    <s v="na"/>
    <n v="33.06"/>
    <n v="1.3187"/>
    <d v="1899-12-30T12:00:00"/>
    <d v="1899-12-30T17:39:00"/>
    <s v="na"/>
    <s v="na"/>
    <s v="na"/>
    <s v="na"/>
    <s v="5:39:00"/>
    <s v="na"/>
    <s v="na"/>
    <s v="na"/>
    <n v="36.5"/>
  </r>
  <r>
    <n v="101"/>
    <s v="LSBI028"/>
    <s v="LSBI027"/>
    <x v="1"/>
    <s v="St. Bee's Island"/>
    <d v="2023-02-25T00:00:00"/>
    <d v="2023-07-12T00:00:00"/>
    <n v="137"/>
    <s v="na"/>
    <x v="0"/>
    <n v="339"/>
    <n v="1"/>
    <s v="na"/>
    <s v="na"/>
    <n v="30.75"/>
    <n v="1.0649"/>
    <d v="1899-12-30T12:13:52"/>
    <d v="1899-12-30T17:49:00"/>
    <s v="na"/>
    <s v="na"/>
    <s v="na"/>
    <s v="na"/>
    <s v="5:35:08"/>
    <s v="na"/>
    <s v="na"/>
    <s v="na"/>
    <n v="36.56"/>
  </r>
  <r>
    <n v="107"/>
    <s v="CPRE521"/>
    <s v="CPRE524"/>
    <x v="0"/>
    <s v="Pretty Patches"/>
    <d v="2023-03-05T00:00:00"/>
    <d v="2023-07-10T00:00:00"/>
    <n v="127"/>
    <s v="na"/>
    <x v="1"/>
    <n v="149"/>
    <n v="1"/>
    <s v="na"/>
    <s v="na"/>
    <n v="33.08"/>
    <n v="1.4843999999999999"/>
    <d v="1899-12-30T13:15:00"/>
    <d v="1899-12-30T19:06:00"/>
    <s v="na"/>
    <s v="na"/>
    <s v="na"/>
    <s v="na"/>
    <s v="5:51:00"/>
    <s v="na"/>
    <s v="na"/>
    <s v="na"/>
    <n v="36.57"/>
  </r>
  <r>
    <n v="90"/>
    <s v="CSAT265"/>
    <s v="CSAT264"/>
    <x v="0"/>
    <s v="Satellite Reef"/>
    <d v="2023-02-20T00:00:00"/>
    <d v="2023-07-12T00:00:00"/>
    <n v="142"/>
    <s v="red"/>
    <x v="0"/>
    <n v="243"/>
    <n v="1"/>
    <n v="5"/>
    <n v="2"/>
    <n v="26.85"/>
    <n v="0.81540000000000001"/>
    <d v="1899-12-30T12:13:52"/>
    <d v="1899-12-30T17:55:00"/>
    <m/>
    <n v="36.6"/>
    <n v="36.661000000000001"/>
    <n v="6.0999999999999943E-2"/>
    <s v="5:41:08"/>
    <n v="0.111"/>
    <n v="36.550000000000004"/>
    <n v="-4.9999999999997158E-2"/>
    <n v="36.575000000000003"/>
  </r>
  <r>
    <n v="99"/>
    <s v="CARL335"/>
    <s v="CARL359"/>
    <x v="0"/>
    <s v="Arlington Reef"/>
    <d v="2023-02-23T00:00:00"/>
    <d v="2023-07-10T00:00:00"/>
    <n v="137"/>
    <s v="na"/>
    <x v="1"/>
    <n v="234"/>
    <n v="1"/>
    <s v="na"/>
    <s v="na"/>
    <n v="35.020000000000003"/>
    <n v="1.7088000000000001"/>
    <d v="1899-12-30T13:15:00"/>
    <d v="1899-12-30T19:08:00"/>
    <s v="na"/>
    <s v="na"/>
    <s v="na"/>
    <s v="na"/>
    <s v="5:53:00"/>
    <s v="na"/>
    <s v="na"/>
    <s v="na"/>
    <n v="36.590000000000003"/>
  </r>
  <r>
    <n v="74"/>
    <s v="LSBI023"/>
    <s v="LCHA118"/>
    <x v="1"/>
    <s v="Chauvel Reef/St. Bee's Island"/>
    <d v="2023-02-01T00:00:00"/>
    <d v="2023-06-09T00:00:00"/>
    <n v="128"/>
    <s v="white"/>
    <x v="1"/>
    <n v="153"/>
    <n v="1"/>
    <n v="4"/>
    <n v="1"/>
    <n v="27.24"/>
    <n v="0.80769999999999997"/>
    <d v="1899-12-30T11:33:47"/>
    <d v="1899-12-30T17:22:00"/>
    <n v="36.6"/>
    <n v="36.6"/>
    <s v="na"/>
    <m/>
    <s v="5:48:13"/>
    <n v="2.9250000000000002E-2"/>
    <m/>
    <m/>
    <n v="36.6"/>
  </r>
  <r>
    <n v="74"/>
    <s v="LSBI023"/>
    <s v="LCHA118"/>
    <x v="1"/>
    <s v="Chauvel Reef/St. Bee's Island"/>
    <d v="2023-02-01T00:00:00"/>
    <d v="2023-06-09T00:00:00"/>
    <n v="128"/>
    <s v="white"/>
    <x v="1"/>
    <n v="153"/>
    <n v="1"/>
    <n v="4"/>
    <n v="3"/>
    <n v="30.04"/>
    <n v="0.88270000000000004"/>
    <d v="1899-12-30T11:33:47"/>
    <d v="1899-12-30T17:22:00"/>
    <n v="36.6"/>
    <n v="36.6"/>
    <s v="na"/>
    <m/>
    <s v="5:48:13"/>
    <n v="2.9250000000000002E-2"/>
    <m/>
    <m/>
    <n v="36.6"/>
  </r>
  <r>
    <n v="90"/>
    <s v="CSAT265"/>
    <s v="CSAT264"/>
    <x v="0"/>
    <s v="Satellite Reef"/>
    <d v="2023-02-20T00:00:00"/>
    <d v="2023-07-12T00:00:00"/>
    <n v="142"/>
    <s v="red"/>
    <x v="0"/>
    <n v="243"/>
    <n v="1"/>
    <n v="5"/>
    <n v="3"/>
    <n v="29.55"/>
    <n v="1.0271999999999999"/>
    <d v="1899-12-30T12:13:52"/>
    <d v="1899-12-30T18:00:00"/>
    <m/>
    <n v="36.6"/>
    <n v="36.741999999999997"/>
    <n v="0.14199999999999591"/>
    <s v="5:46:08"/>
    <n v="0.111"/>
    <n v="36.631"/>
    <n v="3.0999999999998806E-2"/>
    <n v="36.615499999999997"/>
  </r>
  <r>
    <n v="102"/>
    <s v="LSBI034"/>
    <s v="LCHA120"/>
    <x v="1"/>
    <s v="Chauvel Reef/St. Bee's Island"/>
    <d v="2023-02-27T00:00:00"/>
    <d v="2023-07-12T00:00:00"/>
    <n v="135"/>
    <s v="na"/>
    <x v="0"/>
    <n v="240"/>
    <n v="1"/>
    <s v="na"/>
    <s v="na"/>
    <n v="29.55"/>
    <n v="0.99299999999999999"/>
    <d v="1899-12-30T12:13:52"/>
    <d v="1899-12-30T17:55:00"/>
    <s v="na"/>
    <s v="na"/>
    <s v="na"/>
    <s v="na"/>
    <s v="5:41:08"/>
    <s v="na"/>
    <s v="na"/>
    <s v="na"/>
    <n v="36.630000000000003"/>
  </r>
  <r>
    <n v="69"/>
    <s v="LCKM164"/>
    <s v="LCKM156"/>
    <x v="1"/>
    <s v="Cockermouth Island"/>
    <d v="2023-01-30T00:00:00"/>
    <d v="2023-06-06T00:00:00"/>
    <n v="127"/>
    <s v="blue"/>
    <x v="0"/>
    <n v="237"/>
    <n v="2"/>
    <n v="2"/>
    <n v="3"/>
    <n v="30.32"/>
    <n v="0.96330000000000005"/>
    <d v="1899-12-30T10:33:39"/>
    <d v="1899-12-30T16:49:00"/>
    <n v="36.670999999999999"/>
    <n v="36.6"/>
    <n v="36.741999999999997"/>
    <n v="0.14199999999999591"/>
    <s v="6:15:21"/>
    <n v="7.6850000000000002E-2"/>
    <n v="36.665149999999997"/>
    <n v="6.51499999999956E-2"/>
    <n v="36.632575000000003"/>
  </r>
  <r>
    <n v="69"/>
    <s v="LCKM164"/>
    <s v="LCKM156"/>
    <x v="1"/>
    <s v="Cockermouth Island"/>
    <d v="2023-01-30T00:00:00"/>
    <d v="2023-06-06T00:00:00"/>
    <n v="127"/>
    <s v="blue"/>
    <x v="0"/>
    <n v="237"/>
    <n v="2"/>
    <n v="2"/>
    <n v="1"/>
    <n v="29.86"/>
    <n v="0.97789999999999999"/>
    <d v="1899-12-30T10:33:39"/>
    <d v="1899-12-30T16:49:00"/>
    <n v="36.670999999999999"/>
    <n v="36.6"/>
    <n v="36.741999999999997"/>
    <n v="0.14199999999999591"/>
    <s v="6:15:21"/>
    <n v="7.6850000000000002E-2"/>
    <n v="36.665149999999997"/>
    <n v="6.51499999999956E-2"/>
    <n v="36.632575000000003"/>
  </r>
  <r>
    <n v="69"/>
    <s v="LCKM164"/>
    <s v="LCKM156"/>
    <x v="1"/>
    <s v="Cockermouth Island"/>
    <d v="2023-01-30T00:00:00"/>
    <d v="2023-06-06T00:00:00"/>
    <n v="127"/>
    <s v="blue"/>
    <x v="0"/>
    <n v="237"/>
    <n v="2"/>
    <n v="2"/>
    <n v="4"/>
    <n v="31.08"/>
    <n v="1.0960000000000001"/>
    <d v="1899-12-30T10:33:39"/>
    <d v="1899-12-30T16:49:00"/>
    <n v="36.670999999999999"/>
    <n v="36.6"/>
    <n v="36.741999999999997"/>
    <n v="0.14199999999999591"/>
    <s v="6:15:21"/>
    <n v="7.6850000000000002E-2"/>
    <n v="36.665149999999997"/>
    <n v="6.51499999999956E-2"/>
    <n v="36.632575000000003"/>
  </r>
  <r>
    <n v="99"/>
    <s v="CARL335"/>
    <s v="CARL359"/>
    <x v="0"/>
    <s v="Arlington Reef"/>
    <d v="2023-02-23T00:00:00"/>
    <d v="2023-07-05T00:00:00"/>
    <n v="132"/>
    <s v="na"/>
    <x v="0"/>
    <n v="342"/>
    <n v="2"/>
    <s v="na"/>
    <s v="na"/>
    <n v="30.24"/>
    <n v="0.98939999999999995"/>
    <d v="1899-12-30T13:00:00"/>
    <d v="1899-12-30T18:43:00"/>
    <s v="na"/>
    <s v="na"/>
    <s v="na"/>
    <s v="na"/>
    <s v="5:43:00"/>
    <s v="na"/>
    <s v="na"/>
    <s v="na"/>
    <n v="36.65"/>
  </r>
  <r>
    <n v="102"/>
    <s v="LSBI034"/>
    <s v="LCHA120"/>
    <x v="1"/>
    <s v="Chauvel Reef/St. Bee's Island"/>
    <d v="2023-02-27T00:00:00"/>
    <d v="2023-07-06T00:00:00"/>
    <n v="129"/>
    <s v="red"/>
    <x v="1"/>
    <n v="353"/>
    <n v="2"/>
    <n v="5"/>
    <n v="2"/>
    <n v="34.340000000000003"/>
    <n v="1.5628"/>
    <d v="1899-12-30T11:43:22"/>
    <d v="1899-12-30T17:25:00"/>
    <m/>
    <n v="36.700000000000003"/>
    <n v="36.741999999999997"/>
    <n v="4.1999999999994486E-2"/>
    <s v="5:41:38"/>
    <n v="0.111"/>
    <n v="36.631"/>
    <n v="-6.9000000000002615E-2"/>
    <n v="36.665500000000002"/>
  </r>
  <r>
    <n v="101"/>
    <s v="LSBI028"/>
    <s v="LSBI027"/>
    <x v="1"/>
    <s v="St. Bee's Island"/>
    <d v="2023-02-25T00:00:00"/>
    <d v="2023-07-12T00:00:00"/>
    <n v="137"/>
    <s v="red"/>
    <x v="0"/>
    <n v="339"/>
    <n v="1"/>
    <n v="3"/>
    <n v="1"/>
    <n v="32.01"/>
    <n v="1.2934000000000001"/>
    <d v="1899-12-30T12:13:52"/>
    <d v="1899-12-30T17:56:00"/>
    <m/>
    <n v="36.700000000000003"/>
    <n v="36.715000000000003"/>
    <n v="1.5000000000000568E-2"/>
    <s v="5:42:08"/>
    <n v="8.0199999999999994E-2"/>
    <n v="36.634800000000006"/>
    <n v="-6.519999999999726E-2"/>
    <n v="36.667400000000001"/>
  </r>
  <r>
    <n v="102"/>
    <s v="LSBI034"/>
    <s v="LCHA120"/>
    <x v="1"/>
    <s v="Chauvel Reef/St. Bee's Island"/>
    <d v="2023-02-27T00:00:00"/>
    <d v="2023-07-12T00:00:00"/>
    <n v="135"/>
    <s v="red"/>
    <x v="0"/>
    <n v="240"/>
    <n v="1"/>
    <n v="4"/>
    <n v="3"/>
    <n v="29.33"/>
    <n v="1.0065"/>
    <d v="1899-12-30T12:13:52"/>
    <d v="1899-12-30T17:59:00"/>
    <m/>
    <m/>
    <n v="36.728999999999999"/>
    <m/>
    <s v="5:45:08"/>
    <n v="0.06"/>
    <n v="36.668999999999997"/>
    <m/>
    <n v="36.668999999999997"/>
  </r>
  <r>
    <n v="110"/>
    <s v="CPRE453"/>
    <s v="CPRE459"/>
    <x v="0"/>
    <s v="Pretty Patches"/>
    <d v="2023-03-07T00:00:00"/>
    <d v="2023-07-10T00:00:00"/>
    <n v="125"/>
    <s v="na"/>
    <x v="0"/>
    <n v="347"/>
    <n v="2"/>
    <s v="na"/>
    <s v="na"/>
    <n v="36.53"/>
    <n v="2.0331999999999999"/>
    <d v="1899-12-30T13:15:00"/>
    <d v="1899-12-30T19:11:00"/>
    <s v="na"/>
    <s v="na"/>
    <s v="na"/>
    <s v="na"/>
    <s v="5:56:00"/>
    <s v="na"/>
    <s v="na"/>
    <s v="na"/>
    <n v="36.67"/>
  </r>
  <r>
    <n v="96"/>
    <s v="CARL338"/>
    <s v="CARL345"/>
    <x v="0"/>
    <s v="Arlington Reef"/>
    <d v="2023-02-23T00:00:00"/>
    <d v="2023-07-12T00:00:00"/>
    <n v="139"/>
    <s v="red"/>
    <x v="0"/>
    <n v="238"/>
    <n v="2"/>
    <n v="6"/>
    <n v="5"/>
    <n v="32.29"/>
    <n v="1.3224"/>
    <d v="1899-12-30T12:13:52"/>
    <d v="1899-12-30T18:04:00"/>
    <m/>
    <n v="36.65"/>
    <n v="36.715000000000003"/>
    <n v="6.5000000000004832E-2"/>
    <s v="5:50:08"/>
    <n v="0.01"/>
    <n v="36.705000000000005"/>
    <n v="5.5000000000006821E-2"/>
    <n v="36.677500000000002"/>
  </r>
  <r>
    <n v="101"/>
    <s v="LSBI028"/>
    <s v="LSBI027"/>
    <x v="1"/>
    <s v="St. Bee's Island"/>
    <d v="2023-02-25T00:00:00"/>
    <d v="2023-07-10T00:00:00"/>
    <n v="135"/>
    <s v="na"/>
    <x v="1"/>
    <n v="248"/>
    <n v="1"/>
    <s v="na"/>
    <s v="na"/>
    <n v="33.22"/>
    <n v="1.3207"/>
    <d v="1899-12-30T13:15:00"/>
    <d v="1899-12-30T19:13:00"/>
    <s v="na"/>
    <s v="na"/>
    <s v="na"/>
    <s v="na"/>
    <s v="5:58:00"/>
    <s v="na"/>
    <s v="na"/>
    <s v="na"/>
    <n v="36.68"/>
  </r>
  <r>
    <n v="102"/>
    <s v="LSBI034"/>
    <s v="LCHA120"/>
    <x v="1"/>
    <s v="Chauvel Reef/St. Bee's Island"/>
    <d v="2023-02-27T00:00:00"/>
    <d v="2023-07-12T00:00:00"/>
    <n v="135"/>
    <s v="na"/>
    <x v="0"/>
    <n v="240"/>
    <n v="1"/>
    <s v="na"/>
    <s v="na"/>
    <n v="29.21"/>
    <n v="0.95209999999999995"/>
    <d v="1899-12-30T12:13:52"/>
    <d v="1899-12-30T17:57:00"/>
    <s v="na"/>
    <s v="na"/>
    <s v="na"/>
    <s v="na"/>
    <s v="5:43:08"/>
    <s v="na"/>
    <s v="na"/>
    <s v="na"/>
    <n v="36.68"/>
  </r>
  <r>
    <n v="96"/>
    <s v="CARL338"/>
    <s v="CARL345"/>
    <x v="0"/>
    <s v="Arlington Reef"/>
    <d v="2023-02-23T00:00:00"/>
    <d v="2023-07-06T00:00:00"/>
    <n v="133"/>
    <s v="white"/>
    <x v="0"/>
    <n v="345"/>
    <n v="1"/>
    <n v="6"/>
    <n v="1"/>
    <n v="32.590000000000003"/>
    <n v="1.3328"/>
    <d v="1899-12-30T11:43:22"/>
    <d v="1899-12-30T17:25:00"/>
    <m/>
    <n v="36.700000000000003"/>
    <n v="36.661000000000001"/>
    <n v="-3.9000000000001478E-2"/>
    <s v="5:41:38"/>
    <n v="7.6999999999999996E-4"/>
    <n v="36.660229999999999"/>
    <n v="-3.9770000000004302E-2"/>
    <n v="36.680115000000001"/>
  </r>
  <r>
    <n v="102"/>
    <s v="LSBI034"/>
    <s v="LCHA120"/>
    <x v="1"/>
    <s v="Chauvel Reef/St. Bee's Island"/>
    <d v="2023-02-27T00:00:00"/>
    <d v="2023-07-12T00:00:00"/>
    <n v="135"/>
    <s v="red"/>
    <x v="0"/>
    <n v="240"/>
    <n v="1"/>
    <n v="4"/>
    <n v="1"/>
    <n v="27.32"/>
    <n v="0.8115"/>
    <d v="1899-12-30T12:13:52"/>
    <d v="1899-12-30T17:58:00"/>
    <m/>
    <n v="36.700000000000003"/>
    <n v="36.728999999999999"/>
    <n v="2.8999999999996362E-2"/>
    <s v="5:44:08"/>
    <n v="0.06"/>
    <n v="36.668999999999997"/>
    <n v="-3.1000000000005912E-2"/>
    <n v="36.6845"/>
  </r>
  <r>
    <n v="102"/>
    <s v="LSBI034"/>
    <s v="LCHA120"/>
    <x v="1"/>
    <s v="Chauvel Reef/St. Bee's Island"/>
    <d v="2023-02-27T00:00:00"/>
    <d v="2023-07-12T00:00:00"/>
    <n v="135"/>
    <s v="red"/>
    <x v="0"/>
    <n v="240"/>
    <n v="1"/>
    <n v="4"/>
    <n v="4"/>
    <n v="30.31"/>
    <n v="1.1718999999999999"/>
    <d v="1899-12-30T12:13:52"/>
    <d v="1899-12-30T17:58:00"/>
    <m/>
    <n v="36.700000000000003"/>
    <n v="36.728999999999999"/>
    <n v="2.8999999999996362E-2"/>
    <s v="5:44:08"/>
    <n v="0.06"/>
    <n v="36.668999999999997"/>
    <n v="-3.1000000000005912E-2"/>
    <n v="36.6845"/>
  </r>
  <r>
    <n v="102"/>
    <s v="LSBI034"/>
    <s v="LCHA120"/>
    <x v="1"/>
    <s v="Chauvel Reef/St. Bee's Island"/>
    <d v="2023-02-27T00:00:00"/>
    <d v="2023-07-12T00:00:00"/>
    <n v="135"/>
    <s v="red"/>
    <x v="0"/>
    <n v="240"/>
    <n v="1"/>
    <n v="4"/>
    <n v="2"/>
    <n v="32.43"/>
    <n v="1.4297"/>
    <d v="1899-12-30T12:13:52"/>
    <d v="1899-12-30T17:58:00"/>
    <m/>
    <n v="36.700000000000003"/>
    <n v="36.728999999999999"/>
    <n v="2.8999999999996362E-2"/>
    <s v="5:44:08"/>
    <n v="0.06"/>
    <n v="36.668999999999997"/>
    <n v="-3.1000000000005912E-2"/>
    <n v="36.6845"/>
  </r>
  <r>
    <n v="107"/>
    <s v="CPRE521"/>
    <s v="CPRE524"/>
    <x v="0"/>
    <s v="Pretty Patches"/>
    <d v="2023-03-05T00:00:00"/>
    <d v="2023-07-06T00:00:00"/>
    <n v="123"/>
    <s v="white"/>
    <x v="0"/>
    <n v="141"/>
    <n v="2"/>
    <n v="3"/>
    <n v="5"/>
    <n v="27.96"/>
    <n v="0.85850000000000004"/>
    <d v="1899-12-30T11:43:22"/>
    <d v="1899-12-30T17:24:00"/>
    <m/>
    <n v="36.700000000000003"/>
    <n v="36.795999999999999"/>
    <n v="9.5999999999996533E-2"/>
    <s v="5:40:38"/>
    <n v="0.124"/>
    <n v="36.671999999999997"/>
    <n v="-2.8000000000005798E-2"/>
    <n v="36.686"/>
  </r>
  <r>
    <n v="96"/>
    <s v="CARL338"/>
    <s v="CARL345"/>
    <x v="0"/>
    <s v="Arlington Reef"/>
    <d v="2023-02-23T00:00:00"/>
    <d v="2023-07-07T00:00:00"/>
    <n v="134"/>
    <s v="na"/>
    <x v="0"/>
    <n v="238"/>
    <n v="2"/>
    <s v="na"/>
    <s v="na"/>
    <n v="35.56"/>
    <n v="1.7490000000000001"/>
    <d v="1899-12-30T13:08:13"/>
    <d v="1899-12-30T18:51:00"/>
    <s v="na"/>
    <s v="na"/>
    <s v="na"/>
    <s v="na"/>
    <s v="5:42:47"/>
    <s v="na"/>
    <s v="na"/>
    <s v="na"/>
    <n v="36.69"/>
  </r>
  <r>
    <n v="102"/>
    <s v="LSBI034"/>
    <s v="LCHA120"/>
    <x v="1"/>
    <s v="Chauvel Reef/St. Bee's Island"/>
    <d v="2023-02-27T00:00:00"/>
    <d v="2023-07-06T00:00:00"/>
    <n v="129"/>
    <s v="white"/>
    <x v="0"/>
    <n v="240"/>
    <n v="2"/>
    <n v="5"/>
    <n v="4"/>
    <n v="30.92"/>
    <n v="1.0927"/>
    <d v="1899-12-30T11:43:22"/>
    <d v="1899-12-30T17:27:00"/>
    <m/>
    <n v="36.700000000000003"/>
    <n v="36.795999999999999"/>
    <n v="9.5999999999996533E-2"/>
    <s v="5:43:38"/>
    <n v="0.111"/>
    <n v="36.685000000000002"/>
    <n v="-1.5000000000000568E-2"/>
    <n v="36.692500000000003"/>
  </r>
  <r>
    <n v="102"/>
    <s v="LSBI034"/>
    <s v="LCHA120"/>
    <x v="1"/>
    <s v="Chauvel Reef/St. Bee's Island"/>
    <d v="2023-02-27T00:00:00"/>
    <d v="2023-07-06T00:00:00"/>
    <n v="129"/>
    <s v="white"/>
    <x v="0"/>
    <n v="240"/>
    <n v="2"/>
    <n v="5"/>
    <n v="3"/>
    <n v="33.35"/>
    <n v="1.4056"/>
    <d v="1899-12-30T11:43:22"/>
    <d v="1899-12-30T17:27:00"/>
    <m/>
    <n v="36.700000000000003"/>
    <n v="36.795999999999999"/>
    <n v="9.5999999999996533E-2"/>
    <s v="5:43:38"/>
    <n v="0.111"/>
    <n v="36.685000000000002"/>
    <n v="-1.5000000000000568E-2"/>
    <n v="36.692500000000003"/>
  </r>
  <r>
    <n v="102"/>
    <s v="LSBI034"/>
    <s v="LCHA120"/>
    <x v="1"/>
    <s v="Chauvel Reef/St. Bee's Island"/>
    <d v="2023-02-27T00:00:00"/>
    <d v="2023-07-06T00:00:00"/>
    <n v="129"/>
    <s v="red"/>
    <x v="1"/>
    <n v="353"/>
    <n v="2"/>
    <n v="5"/>
    <n v="1"/>
    <n v="31.58"/>
    <n v="1.1577999999999999"/>
    <d v="1899-12-30T11:43:22"/>
    <d v="1899-12-30T17:27:00"/>
    <m/>
    <n v="36.700000000000003"/>
    <n v="36.795999999999999"/>
    <n v="9.5999999999996533E-2"/>
    <s v="5:43:38"/>
    <n v="0.111"/>
    <n v="36.685000000000002"/>
    <n v="-1.5000000000000568E-2"/>
    <n v="36.692500000000003"/>
  </r>
  <r>
    <n v="108"/>
    <s v="CARL369"/>
    <s v="CARL349"/>
    <x v="0"/>
    <s v="Arlington Reef"/>
    <d v="2023-03-05T00:00:00"/>
    <d v="2023-07-06T00:00:00"/>
    <n v="123"/>
    <s v="white"/>
    <x v="0"/>
    <n v="344"/>
    <n v="2"/>
    <n v="4"/>
    <n v="2"/>
    <n v="23.17"/>
    <n v="0.46150000000000002"/>
    <d v="1899-12-30T11:43:22"/>
    <d v="1899-12-30T17:24:00"/>
    <m/>
    <n v="36.700000000000003"/>
    <n v="36.661000000000001"/>
    <n v="-3.9000000000001478E-2"/>
    <s v="5:40:38"/>
    <n v="-2.92E-2"/>
    <n v="36.690200000000004"/>
    <n v="-9.7999999999984766E-3"/>
    <n v="36.695100000000004"/>
  </r>
  <r>
    <n v="69"/>
    <s v="LCKM164"/>
    <s v="LCKM156"/>
    <x v="1"/>
    <s v="Cockermouth Island"/>
    <d v="2023-01-30T00:00:00"/>
    <d v="2023-06-06T00:00:00"/>
    <n v="127"/>
    <s v="blue"/>
    <x v="0"/>
    <n v="237"/>
    <n v="2"/>
    <n v="2"/>
    <n v="5"/>
    <n v="34.82"/>
    <n v="1.4717"/>
    <d v="1899-12-30T10:33:39"/>
    <d v="1899-12-30T16:52:00"/>
    <n v="36.734499999999997"/>
    <n v="36.700000000000003"/>
    <n v="36.768999999999998"/>
    <n v="6.8999999999995509E-2"/>
    <s v="6:18:21"/>
    <n v="7.6850000000000002E-2"/>
    <n v="36.692149999999998"/>
    <n v="-7.8500000000047976E-3"/>
    <n v="36.696075"/>
  </r>
  <r>
    <n v="74"/>
    <s v="LSBI023"/>
    <s v="LCHA118"/>
    <x v="1"/>
    <s v="Chauvel Reef/St. Bee's Island"/>
    <d v="2023-02-01T00:00:00"/>
    <d v="2023-06-09T00:00:00"/>
    <n v="128"/>
    <s v="white"/>
    <x v="1"/>
    <n v="153"/>
    <n v="1"/>
    <n v="4"/>
    <n v="2"/>
    <n v="32.869999999999997"/>
    <n v="1.4716"/>
    <d v="1899-12-30T11:33:47"/>
    <d v="1899-12-30T17:23:00"/>
    <n v="36.700000000000003"/>
    <n v="36.700000000000003"/>
    <s v="na"/>
    <m/>
    <s v="5:49:13"/>
    <n v="2.9250000000000002E-2"/>
    <m/>
    <m/>
    <n v="36.700000000000003"/>
  </r>
  <r>
    <n v="101"/>
    <s v="LSBI028"/>
    <s v="LSBI027"/>
    <x v="1"/>
    <s v="St. Bee's Island"/>
    <d v="2023-02-25T00:00:00"/>
    <d v="2023-07-14T00:00:00"/>
    <n v="139"/>
    <s v="na"/>
    <x v="1"/>
    <n v="135"/>
    <n v="2"/>
    <s v="na"/>
    <s v="na"/>
    <n v="30.73"/>
    <n v="1.0804"/>
    <d v="1899-12-30T11:30:00"/>
    <d v="1899-12-30T17:25:00"/>
    <s v="na"/>
    <s v="na"/>
    <s v="na"/>
    <s v="na"/>
    <s v="5:55:00"/>
    <s v="na"/>
    <s v="na"/>
    <s v="na"/>
    <n v="36.700000000000003"/>
  </r>
  <r>
    <n v="75"/>
    <s v="LSBI034"/>
    <s v="LCHA120"/>
    <x v="1"/>
    <s v="Chauvel Reef/St. Bee's Island"/>
    <d v="2023-02-02T00:00:00"/>
    <d v="2023-06-06T00:00:00"/>
    <n v="124"/>
    <s v="blue"/>
    <x v="0"/>
    <n v="139"/>
    <n v="2"/>
    <n v="3"/>
    <n v="1"/>
    <n v="27.97"/>
    <n v="0.82679999999999998"/>
    <d v="1899-12-30T10:33:39"/>
    <d v="1899-12-30T16:50:00"/>
    <n v="36.762"/>
    <n v="36.700000000000003"/>
    <n v="36.823999999999998"/>
    <n v="0.12399999999999523"/>
    <s v="6:16:21"/>
    <n v="0.1047"/>
    <n v="36.719299999999997"/>
    <n v="1.92999999999941E-2"/>
    <n v="36.709649999999996"/>
  </r>
  <r>
    <n v="75"/>
    <s v="LSBI034"/>
    <s v="LCHA120"/>
    <x v="1"/>
    <s v="Chauvel Reef/St. Bee's Island"/>
    <d v="2023-02-02T00:00:00"/>
    <d v="2023-06-06T00:00:00"/>
    <n v="124"/>
    <s v="blue"/>
    <x v="0"/>
    <n v="139"/>
    <n v="2"/>
    <n v="3"/>
    <n v="2"/>
    <n v="30.71"/>
    <n v="1.1964999999999999"/>
    <d v="1899-12-30T10:33:39"/>
    <d v="1899-12-30T16:50:00"/>
    <n v="36.762"/>
    <n v="36.700000000000003"/>
    <n v="36.823999999999998"/>
    <n v="0.12399999999999523"/>
    <s v="6:16:21"/>
    <n v="0.1047"/>
    <n v="36.719299999999997"/>
    <n v="1.92999999999941E-2"/>
    <n v="36.709649999999996"/>
  </r>
  <r>
    <n v="75"/>
    <s v="LSBI034"/>
    <s v="LCHA120"/>
    <x v="1"/>
    <s v="Chauvel Reef/St. Bee's Island"/>
    <d v="2023-02-02T00:00:00"/>
    <d v="2023-06-06T00:00:00"/>
    <n v="124"/>
    <s v="blue"/>
    <x v="0"/>
    <n v="139"/>
    <n v="2"/>
    <n v="3"/>
    <n v="3"/>
    <n v="32.11"/>
    <n v="1.2656000000000001"/>
    <d v="1899-12-30T10:33:39"/>
    <d v="1899-12-30T16:50:00"/>
    <n v="36.762"/>
    <n v="36.700000000000003"/>
    <n v="36.823999999999998"/>
    <n v="0.12399999999999523"/>
    <s v="6:16:21"/>
    <n v="0.1047"/>
    <n v="36.719299999999997"/>
    <n v="1.92999999999941E-2"/>
    <n v="36.709649999999996"/>
  </r>
  <r>
    <n v="75"/>
    <s v="LSBI034"/>
    <s v="LCHA120"/>
    <x v="1"/>
    <s v="Chauvel Reef/St. Bee's Island"/>
    <d v="2023-02-02T00:00:00"/>
    <d v="2023-06-06T00:00:00"/>
    <n v="124"/>
    <s v="white"/>
    <x v="1"/>
    <n v="134"/>
    <n v="2"/>
    <n v="3"/>
    <n v="4"/>
    <n v="27.54"/>
    <n v="0.184"/>
    <d v="1899-12-30T10:33:39"/>
    <d v="1899-12-30T16:50:00"/>
    <n v="36.762"/>
    <n v="36.700000000000003"/>
    <n v="36.823999999999998"/>
    <n v="0.12399999999999523"/>
    <s v="6:16:21"/>
    <n v="0.1047"/>
    <n v="36.719299999999997"/>
    <n v="1.92999999999941E-2"/>
    <n v="36.709649999999996"/>
  </r>
  <r>
    <n v="75"/>
    <s v="LSBI034"/>
    <s v="LCHA120"/>
    <x v="1"/>
    <s v="Chauvel Reef/St. Bee's Island"/>
    <d v="2023-02-02T00:00:00"/>
    <d v="2023-06-06T00:00:00"/>
    <n v="124"/>
    <s v="white"/>
    <x v="1"/>
    <n v="134"/>
    <n v="2"/>
    <n v="3"/>
    <n v="5"/>
    <n v="31.3"/>
    <n v="1.0827"/>
    <d v="1899-12-30T10:33:39"/>
    <d v="1899-12-30T16:50:00"/>
    <n v="36.762"/>
    <n v="36.700000000000003"/>
    <n v="36.823999999999998"/>
    <n v="0.12399999999999523"/>
    <s v="6:16:21"/>
    <n v="0.1047"/>
    <n v="36.719299999999997"/>
    <n v="1.92999999999941E-2"/>
    <n v="36.709649999999996"/>
  </r>
  <r>
    <n v="96"/>
    <s v="CARL338"/>
    <s v="CARL345"/>
    <x v="0"/>
    <s v="Arlington Reef"/>
    <d v="2023-02-23T00:00:00"/>
    <d v="2023-07-06T00:00:00"/>
    <n v="133"/>
    <s v="red"/>
    <x v="1"/>
    <n v="250"/>
    <n v="1"/>
    <n v="6"/>
    <n v="1"/>
    <n v="22.21"/>
    <n v="0.43120000000000003"/>
    <d v="1899-12-30T11:43:22"/>
    <d v="1899-12-30T17:28:00"/>
    <m/>
    <n v="36.700000000000003"/>
    <n v="36.741999999999997"/>
    <n v="4.1999999999994486E-2"/>
    <s v="5:44:38"/>
    <n v="7.6999999999999996E-4"/>
    <n v="36.741229999999995"/>
    <n v="4.1229999999991662E-2"/>
    <n v="36.720614999999995"/>
  </r>
  <r>
    <n v="96"/>
    <s v="CARL338"/>
    <s v="CARL345"/>
    <x v="0"/>
    <s v="Arlington Reef"/>
    <d v="2023-02-23T00:00:00"/>
    <d v="2023-07-06T00:00:00"/>
    <n v="133"/>
    <s v="red"/>
    <x v="1"/>
    <n v="250"/>
    <n v="1"/>
    <n v="6"/>
    <n v="3"/>
    <n v="30.95"/>
    <n v="1.1995"/>
    <d v="1899-12-30T11:43:22"/>
    <d v="1899-12-30T17:28:00"/>
    <m/>
    <n v="36.700000000000003"/>
    <n v="36.741999999999997"/>
    <n v="4.1999999999994486E-2"/>
    <s v="5:44:38"/>
    <n v="7.6999999999999996E-4"/>
    <n v="36.741229999999995"/>
    <n v="4.1229999999991662E-2"/>
    <n v="36.720614999999995"/>
  </r>
  <r>
    <n v="108"/>
    <s v="CARL369"/>
    <s v="CARL349"/>
    <x v="0"/>
    <s v="Arlington Reef"/>
    <d v="2023-03-05T00:00:00"/>
    <d v="2023-07-06T00:00:00"/>
    <n v="123"/>
    <s v="white"/>
    <x v="0"/>
    <n v="344"/>
    <n v="2"/>
    <n v="4"/>
    <n v="1"/>
    <n v="30.35"/>
    <n v="1.113"/>
    <d v="1899-12-30T11:43:22"/>
    <d v="1899-12-30T17:27:00"/>
    <m/>
    <n v="36.700000000000003"/>
    <n v="36.715000000000003"/>
    <n v="1.5000000000000568E-2"/>
    <s v="5:43:38"/>
    <n v="-2.92E-2"/>
    <n v="36.744200000000006"/>
    <n v="4.420000000000357E-2"/>
    <n v="36.722100000000005"/>
  </r>
  <r>
    <n v="69"/>
    <s v="LCKM164"/>
    <s v="LCKM156"/>
    <x v="1"/>
    <s v="Cockermouth Island"/>
    <d v="2023-01-30T00:00:00"/>
    <d v="2023-06-06T00:00:00"/>
    <n v="127"/>
    <s v="white"/>
    <x v="1"/>
    <n v="129"/>
    <n v="2"/>
    <n v="2"/>
    <n v="5"/>
    <n v="27.35"/>
    <n v="0.73370000000000002"/>
    <d v="1899-12-30T10:33:39"/>
    <d v="1899-12-30T16:56:00"/>
    <n v="36.762"/>
    <n v="36.700000000000003"/>
    <n v="36.823999999999998"/>
    <n v="0.12399999999999523"/>
    <s v="6:22:21"/>
    <n v="7.6850000000000002E-2"/>
    <n v="36.747149999999998"/>
    <n v="4.7149999999994918E-2"/>
    <n v="36.723574999999997"/>
  </r>
  <r>
    <n v="99"/>
    <s v="CARL335"/>
    <s v="CARL359"/>
    <x v="0"/>
    <s v="Arlington Reef"/>
    <d v="2023-02-23T00:00:00"/>
    <d v="2023-07-06T00:00:00"/>
    <n v="133"/>
    <s v="white"/>
    <x v="0"/>
    <n v="342"/>
    <n v="1"/>
    <n v="2"/>
    <n v="1"/>
    <n v="30.54"/>
    <n v="1.2307999999999999"/>
    <d v="1899-12-30T11:43:22"/>
    <d v="1899-12-30T17:25:00"/>
    <m/>
    <n v="36.700000000000003"/>
    <n v="36.823999999999998"/>
    <n v="0.12399999999999523"/>
    <s v="5:41:38"/>
    <n v="7.6700000000000004E-2"/>
    <n v="36.747299999999996"/>
    <n v="4.7299999999992792E-2"/>
    <n v="36.723649999999999"/>
  </r>
  <r>
    <n v="99"/>
    <s v="CARL335"/>
    <s v="CARL359"/>
    <x v="0"/>
    <s v="Arlington Reef"/>
    <d v="2023-02-23T00:00:00"/>
    <d v="2023-07-06T00:00:00"/>
    <n v="133"/>
    <s v="white"/>
    <x v="0"/>
    <n v="342"/>
    <n v="1"/>
    <n v="2"/>
    <n v="4"/>
    <n v="35.58"/>
    <n v="1.8944000000000001"/>
    <d v="1899-12-30T11:43:22"/>
    <d v="1899-12-30T17:25:00"/>
    <m/>
    <n v="36.700000000000003"/>
    <n v="36.823999999999998"/>
    <n v="0.12399999999999523"/>
    <s v="5:41:38"/>
    <n v="7.6700000000000004E-2"/>
    <n v="36.747299999999996"/>
    <n v="4.7299999999992792E-2"/>
    <n v="36.723649999999999"/>
  </r>
  <r>
    <n v="101"/>
    <s v="LSBI028"/>
    <s v="LSBI027"/>
    <x v="1"/>
    <s v="St. Bee's Island"/>
    <d v="2023-02-25T00:00:00"/>
    <d v="2023-07-13T00:00:00"/>
    <n v="138"/>
    <s v="red"/>
    <x v="2"/>
    <n v="160"/>
    <n v="2"/>
    <n v="1"/>
    <n v="3"/>
    <n v="37.18"/>
    <n v="2.1036999999999999"/>
    <d v="1899-12-30T11:50:15"/>
    <d v="1899-12-30T17:35:00"/>
    <m/>
    <m/>
    <n v="36.795999999999999"/>
    <m/>
    <s v="5:44:45"/>
    <n v="6.8000000000000005E-2"/>
    <n v="36.728000000000002"/>
    <m/>
    <n v="36.728000000000002"/>
  </r>
  <r>
    <n v="75"/>
    <s v="LSBI034"/>
    <s v="LCHA120"/>
    <x v="1"/>
    <s v="Chauvel Reef/St. Bee's Island"/>
    <d v="2023-02-02T00:00:00"/>
    <d v="2023-06-10T00:00:00"/>
    <n v="128"/>
    <s v="na"/>
    <x v="0"/>
    <n v="139"/>
    <n v="2"/>
    <s v="na"/>
    <s v="na"/>
    <n v="31.17"/>
    <n v="1.1259999999999999"/>
    <d v="1899-12-30T12:15:00"/>
    <d v="1899-12-30T17:57:00"/>
    <s v="na"/>
    <s v="na"/>
    <s v="na"/>
    <s v="na"/>
    <s v="5:42:00"/>
    <s v="na"/>
    <s v="na"/>
    <s v="na"/>
    <n v="36.729999999999997"/>
  </r>
  <r>
    <n v="60"/>
    <s v="LCKM159"/>
    <s v="LCKM155"/>
    <x v="1"/>
    <s v="Cockermouth Island"/>
    <d v="2023-01-17T00:00:00"/>
    <d v="2023-06-09T00:00:00"/>
    <n v="143"/>
    <s v="blue"/>
    <x v="0"/>
    <n v="142"/>
    <n v="1"/>
    <n v="1"/>
    <n v="4"/>
    <n v="27.36"/>
    <n v="0.749"/>
    <d v="1899-12-30T11:33:47"/>
    <d v="1899-12-30T17:20:00"/>
    <n v="36.748000000000005"/>
    <n v="36.700000000000003"/>
    <n v="36.795999999999999"/>
    <n v="9.5999999999996533E-2"/>
    <s v="5:46:13"/>
    <n v="2.9250000000000002E-2"/>
    <n v="36.766750000000002"/>
    <n v="6.6749999999998977E-2"/>
    <n v="36.733375000000002"/>
  </r>
  <r>
    <n v="60"/>
    <s v="LCKM159"/>
    <s v="LCKM155"/>
    <x v="1"/>
    <s v="Cockermouth Island"/>
    <d v="2023-01-17T00:00:00"/>
    <d v="2023-06-09T00:00:00"/>
    <n v="143"/>
    <s v="blue"/>
    <x v="0"/>
    <n v="142"/>
    <n v="1"/>
    <n v="1"/>
    <n v="1"/>
    <n v="33.380000000000003"/>
    <n v="1.3945000000000001"/>
    <d v="1899-12-30T11:33:47"/>
    <d v="1899-12-30T17:20:00"/>
    <n v="36.748000000000005"/>
    <n v="36.700000000000003"/>
    <n v="36.795999999999999"/>
    <n v="9.5999999999996533E-2"/>
    <s v="5:46:13"/>
    <n v="2.9250000000000002E-2"/>
    <n v="36.766750000000002"/>
    <n v="6.6749999999998977E-2"/>
    <n v="36.733375000000002"/>
  </r>
  <r>
    <n v="101"/>
    <s v="LSBI028"/>
    <s v="LSBI027"/>
    <x v="1"/>
    <s v="St. Bee's Island"/>
    <d v="2023-02-25T00:00:00"/>
    <d v="2023-07-12T00:00:00"/>
    <n v="137"/>
    <s v="red"/>
    <x v="0"/>
    <n v="339"/>
    <n v="1"/>
    <n v="3"/>
    <n v="5"/>
    <n v="29.29"/>
    <n v="0.91639999999999999"/>
    <d v="1899-12-30T12:13:52"/>
    <d v="1899-12-30T18:03:00"/>
    <m/>
    <n v="36.700000000000003"/>
    <n v="36.850999999999999"/>
    <n v="0.15099999999999625"/>
    <s v="5:49:08"/>
    <n v="8.0199999999999994E-2"/>
    <n v="36.770800000000001"/>
    <n v="7.079999999999842E-2"/>
    <n v="36.735399999999998"/>
  </r>
  <r>
    <n v="99"/>
    <s v="CARL335"/>
    <s v="CARL359"/>
    <x v="0"/>
    <s v="Arlington Reef"/>
    <d v="2023-02-23T00:00:00"/>
    <d v="2023-07-06T00:00:00"/>
    <n v="133"/>
    <s v="white"/>
    <x v="0"/>
    <n v="342"/>
    <n v="1"/>
    <n v="2"/>
    <n v="3"/>
    <n v="31.76"/>
    <n v="1.2834000000000001"/>
    <d v="1899-12-30T11:43:22"/>
    <d v="1899-12-30T17:27:00"/>
    <m/>
    <n v="36.700000000000003"/>
    <n v="36.850999999999999"/>
    <n v="0.15099999999999625"/>
    <s v="5:43:38"/>
    <n v="7.6700000000000004E-2"/>
    <n v="36.774299999999997"/>
    <n v="7.4299999999993815E-2"/>
    <n v="36.73715"/>
  </r>
  <r>
    <n v="99"/>
    <s v="CARL335"/>
    <s v="CARL359"/>
    <x v="0"/>
    <s v="Arlington Reef"/>
    <d v="2023-02-23T00:00:00"/>
    <d v="2023-07-06T00:00:00"/>
    <n v="133"/>
    <s v="white"/>
    <x v="0"/>
    <n v="342"/>
    <n v="1"/>
    <n v="2"/>
    <n v="5"/>
    <n v="31.95"/>
    <n v="1.2918000000000001"/>
    <d v="1899-12-30T11:43:22"/>
    <d v="1899-12-30T17:27:00"/>
    <m/>
    <n v="36.700000000000003"/>
    <n v="36.850999999999999"/>
    <n v="0.15099999999999625"/>
    <s v="5:43:38"/>
    <n v="7.6700000000000004E-2"/>
    <n v="36.774299999999997"/>
    <n v="7.4299999999993815E-2"/>
    <n v="36.73715"/>
  </r>
  <r>
    <n v="102"/>
    <s v="LSBI034"/>
    <s v="LCHA120"/>
    <x v="1"/>
    <s v="Chauvel Reef/St. Bee's Island"/>
    <d v="2023-02-27T00:00:00"/>
    <d v="2023-07-05T00:00:00"/>
    <n v="128"/>
    <s v="na"/>
    <x v="1"/>
    <n v="353"/>
    <n v="2"/>
    <s v="na"/>
    <s v="na"/>
    <n v="31.76"/>
    <n v="1.0679000000000001"/>
    <d v="1899-12-30T13:00:00"/>
    <d v="1899-12-30T18:48:00"/>
    <s v="na"/>
    <s v="na"/>
    <s v="na"/>
    <s v="na"/>
    <s v="5:48:00"/>
    <s v="na"/>
    <s v="na"/>
    <s v="na"/>
    <n v="36.74"/>
  </r>
  <r>
    <n v="90"/>
    <s v="CSAT265"/>
    <s v="CSAT264"/>
    <x v="0"/>
    <s v="Satellite Reef"/>
    <d v="2023-02-20T00:00:00"/>
    <d v="2023-07-12T00:00:00"/>
    <n v="142"/>
    <s v="red"/>
    <x v="0"/>
    <n v="243"/>
    <n v="1"/>
    <n v="5"/>
    <n v="4"/>
    <n v="33.35"/>
    <n v="1.4912000000000001"/>
    <d v="1899-12-30T12:13:52"/>
    <d v="1899-12-30T18:03:00"/>
    <m/>
    <n v="36.799999999999997"/>
    <n v="36.795999999999999"/>
    <n v="-3.9999999999977831E-3"/>
    <s v="5:49:08"/>
    <n v="0.111"/>
    <n v="36.685000000000002"/>
    <n v="-0.11499999999999488"/>
    <n v="36.7425"/>
  </r>
  <r>
    <n v="75"/>
    <s v="LSBI034"/>
    <s v="LCHA120"/>
    <x v="1"/>
    <s v="Chauvel Reef/St. Bee's Island"/>
    <d v="2023-02-02T00:00:00"/>
    <d v="2023-06-06T00:00:00"/>
    <n v="124"/>
    <s v="blue"/>
    <x v="0"/>
    <n v="139"/>
    <n v="2"/>
    <n v="3"/>
    <n v="5"/>
    <n v="34.200000000000003"/>
    <n v="1.5496000000000001"/>
    <d v="1899-12-30T10:33:39"/>
    <d v="1899-12-30T16:51:00"/>
    <n v="36.850999999999999"/>
    <m/>
    <n v="36.850999999999999"/>
    <m/>
    <s v="6:17:21"/>
    <n v="0.1047"/>
    <n v="36.746299999999998"/>
    <m/>
    <n v="36.746299999999998"/>
  </r>
  <r>
    <n v="75"/>
    <s v="LSBI034"/>
    <s v="LCHA120"/>
    <x v="1"/>
    <s v="Chauvel Reef/St. Bee's Island"/>
    <d v="2023-02-02T00:00:00"/>
    <d v="2023-06-06T00:00:00"/>
    <n v="124"/>
    <s v="white"/>
    <x v="1"/>
    <n v="134"/>
    <n v="2"/>
    <n v="3"/>
    <n v="3"/>
    <n v="28.58"/>
    <n v="0.84440000000000004"/>
    <d v="1899-12-30T10:33:39"/>
    <d v="1899-12-30T16:51:00"/>
    <n v="36.850999999999999"/>
    <m/>
    <n v="36.850999999999999"/>
    <m/>
    <s v="6:17:21"/>
    <n v="0.1047"/>
    <n v="36.746299999999998"/>
    <m/>
    <n v="36.746299999999998"/>
  </r>
  <r>
    <n v="75"/>
    <s v="LSBI034"/>
    <s v="LCHA120"/>
    <x v="1"/>
    <s v="Chauvel Reef/St. Bee's Island"/>
    <d v="2023-02-02T00:00:00"/>
    <d v="2023-06-06T00:00:00"/>
    <n v="124"/>
    <s v="white"/>
    <x v="1"/>
    <n v="134"/>
    <n v="2"/>
    <n v="3"/>
    <n v="2"/>
    <n v="29.57"/>
    <n v="0.93930000000000002"/>
    <d v="1899-12-30T10:33:39"/>
    <d v="1899-12-30T16:51:00"/>
    <n v="36.850999999999999"/>
    <m/>
    <n v="36.850999999999999"/>
    <m/>
    <s v="6:17:21"/>
    <n v="0.1047"/>
    <n v="36.746299999999998"/>
    <m/>
    <n v="36.746299999999998"/>
  </r>
  <r>
    <n v="110"/>
    <s v="CPRE453"/>
    <s v="CPRE459"/>
    <x v="0"/>
    <s v="Pretty Patches"/>
    <d v="2023-03-07T00:00:00"/>
    <d v="2023-07-12T00:00:00"/>
    <n v="127"/>
    <s v="red"/>
    <x v="0"/>
    <n v="335"/>
    <n v="1"/>
    <n v="2"/>
    <n v="1"/>
    <n v="29.83"/>
    <n v="1.0446"/>
    <d v="1899-12-30T12:13:52"/>
    <d v="1899-12-30T18:02:00"/>
    <m/>
    <n v="36.700000000000003"/>
    <n v="36.850999999999999"/>
    <n v="0.15099999999999625"/>
    <s v="5:48:08"/>
    <n v="5.6599999999999998E-2"/>
    <n v="36.794399999999996"/>
    <n v="9.4399999999993156E-2"/>
    <n v="36.747199999999999"/>
  </r>
  <r>
    <n v="110"/>
    <s v="CPRE453"/>
    <s v="CPRE459"/>
    <x v="0"/>
    <s v="Pretty Patches"/>
    <d v="2023-03-07T00:00:00"/>
    <d v="2023-07-12T00:00:00"/>
    <n v="127"/>
    <s v="red"/>
    <x v="0"/>
    <n v="335"/>
    <n v="1"/>
    <n v="2"/>
    <n v="3"/>
    <n v="29.52"/>
    <n v="1.0826"/>
    <d v="1899-12-30T12:13:52"/>
    <d v="1899-12-30T18:02:00"/>
    <m/>
    <n v="36.700000000000003"/>
    <n v="36.850999999999999"/>
    <n v="0.15099999999999625"/>
    <s v="5:48:08"/>
    <n v="5.6599999999999998E-2"/>
    <n v="36.794399999999996"/>
    <n v="9.4399999999993156E-2"/>
    <n v="36.747199999999999"/>
  </r>
  <r>
    <n v="90"/>
    <s v="CSAT265"/>
    <s v="CSAT264"/>
    <x v="0"/>
    <s v="Satellite Reef"/>
    <d v="2023-02-20T00:00:00"/>
    <d v="2023-07-06T00:00:00"/>
    <n v="136"/>
    <s v="white"/>
    <x v="0"/>
    <n v="338"/>
    <n v="2"/>
    <n v="1"/>
    <n v="2"/>
    <n v="35.69"/>
    <n v="1.9625999999999999"/>
    <d v="1899-12-30T11:43:22"/>
    <d v="1899-12-30T17:30:00"/>
    <m/>
    <n v="36.700000000000003"/>
    <n v="36.905000000000001"/>
    <n v="0.20499999999999829"/>
    <s v="5:46:38"/>
    <n v="0.10299999999999999"/>
    <n v="36.802"/>
    <n v="0.10199999999999676"/>
    <n v="36.751000000000005"/>
  </r>
  <r>
    <n v="90"/>
    <s v="CSAT265"/>
    <s v="CSAT264"/>
    <x v="0"/>
    <s v="Satellite Reef"/>
    <d v="2023-02-20T00:00:00"/>
    <d v="2023-07-06T00:00:00"/>
    <n v="136"/>
    <s v="white"/>
    <x v="0"/>
    <n v="338"/>
    <n v="2"/>
    <n v="1"/>
    <n v="1"/>
    <n v="38.72"/>
    <n v="2.302"/>
    <d v="1899-12-30T11:43:22"/>
    <d v="1899-12-30T17:30:00"/>
    <m/>
    <n v="36.700000000000003"/>
    <n v="36.905000000000001"/>
    <n v="0.20499999999999829"/>
    <s v="5:46:38"/>
    <n v="0.10299999999999999"/>
    <n v="36.802"/>
    <n v="0.10199999999999676"/>
    <n v="36.751000000000005"/>
  </r>
  <r>
    <n v="90"/>
    <s v="CSAT265"/>
    <s v="CSAT264"/>
    <x v="0"/>
    <s v="Satellite Reef"/>
    <d v="2023-02-20T00:00:00"/>
    <d v="2023-07-06T00:00:00"/>
    <n v="136"/>
    <s v="blue"/>
    <x v="2"/>
    <n v="356"/>
    <n v="2"/>
    <n v="1"/>
    <n v="4"/>
    <n v="36.57"/>
    <n v="2.1737000000000002"/>
    <d v="1899-12-30T11:43:22"/>
    <d v="1899-12-30T17:30:00"/>
    <m/>
    <n v="36.700000000000003"/>
    <n v="36.905000000000001"/>
    <n v="0.20499999999999829"/>
    <s v="5:46:38"/>
    <n v="0.10299999999999999"/>
    <n v="36.802"/>
    <n v="0.10199999999999676"/>
    <n v="36.751000000000005"/>
  </r>
  <r>
    <n v="101"/>
    <s v="LSBI028"/>
    <s v="LSBI027"/>
    <x v="1"/>
    <s v="St. Bee's Island"/>
    <d v="2023-02-25T00:00:00"/>
    <d v="2023-07-12T00:00:00"/>
    <n v="137"/>
    <s v="na"/>
    <x v="0"/>
    <n v="339"/>
    <n v="1"/>
    <s v="na"/>
    <s v="na"/>
    <n v="38.479999999999997"/>
    <n v="2.1652999999999998"/>
    <d v="1899-12-30T12:13:52"/>
    <d v="1899-12-30T18:01:00"/>
    <s v="na"/>
    <s v="na"/>
    <s v="na"/>
    <s v="na"/>
    <s v="5:47:08"/>
    <s v="na"/>
    <s v="na"/>
    <s v="na"/>
    <n v="36.76"/>
  </r>
  <r>
    <n v="110"/>
    <s v="CPRE453"/>
    <s v="CPRE459"/>
    <x v="0"/>
    <s v="Pretty Patches"/>
    <d v="2023-03-07T00:00:00"/>
    <d v="2023-07-12T00:00:00"/>
    <n v="127"/>
    <s v="na"/>
    <x v="1"/>
    <n v="329"/>
    <n v="1"/>
    <s v="na"/>
    <s v="na"/>
    <n v="34.08"/>
    <n v="1.4592000000000001"/>
    <d v="1899-12-30T12:13:52"/>
    <d v="1899-12-30T18:01:00"/>
    <s v="na"/>
    <s v="na"/>
    <s v="na"/>
    <s v="na"/>
    <s v="5:47:08"/>
    <s v="na"/>
    <s v="na"/>
    <s v="na"/>
    <n v="36.76"/>
  </r>
  <r>
    <n v="90"/>
    <s v="CSAT265"/>
    <s v="CSAT264"/>
    <x v="0"/>
    <s v="Satellite Reef"/>
    <d v="2023-02-20T00:00:00"/>
    <d v="2023-07-06T00:00:00"/>
    <n v="136"/>
    <s v="white"/>
    <x v="0"/>
    <n v="338"/>
    <n v="2"/>
    <n v="1"/>
    <n v="4"/>
    <n v="38.619999999999997"/>
    <n v="2.3401999999999998"/>
    <d v="1899-12-30T11:43:22"/>
    <d v="1899-12-30T17:32:00"/>
    <m/>
    <n v="36.700000000000003"/>
    <n v="36.933"/>
    <n v="0.23299999999999699"/>
    <s v="5:48:38"/>
    <n v="0.10299999999999999"/>
    <n v="36.83"/>
    <n v="0.12999999999999545"/>
    <n v="36.765000000000001"/>
  </r>
  <r>
    <n v="75"/>
    <s v="LSBI034"/>
    <s v="LCHA120"/>
    <x v="1"/>
    <s v="Chauvel Reef/St. Bee's Island"/>
    <d v="2023-02-02T00:00:00"/>
    <d v="2023-06-10T00:00:00"/>
    <n v="128"/>
    <s v="na"/>
    <x v="0"/>
    <n v="139"/>
    <n v="2"/>
    <s v="na"/>
    <s v="na"/>
    <n v="33.340000000000003"/>
    <n v="1.3105"/>
    <d v="1899-12-30T12:15:00"/>
    <d v="1899-12-30T18:01:00"/>
    <s v="na"/>
    <s v="na"/>
    <s v="na"/>
    <s v="na"/>
    <s v="5:46:00"/>
    <s v="na"/>
    <s v="na"/>
    <s v="na"/>
    <n v="36.770000000000003"/>
  </r>
  <r>
    <n v="96"/>
    <s v="CARL338"/>
    <s v="CARL345"/>
    <x v="0"/>
    <s v="Arlington Reef"/>
    <d v="2023-02-23T00:00:00"/>
    <d v="2023-07-07T00:00:00"/>
    <n v="134"/>
    <s v="na"/>
    <x v="0"/>
    <n v="238"/>
    <n v="2"/>
    <s v="na"/>
    <s v="na"/>
    <n v="33.700000000000003"/>
    <n v="1.4823999999999999"/>
    <d v="1899-12-30T13:08:13"/>
    <d v="1899-12-30T18:56:00"/>
    <s v="na"/>
    <s v="na"/>
    <s v="na"/>
    <s v="na"/>
    <s v="5:47:47"/>
    <s v="na"/>
    <s v="na"/>
    <s v="na"/>
    <n v="36.770000000000003"/>
  </r>
  <r>
    <n v="110"/>
    <s v="CPRE453"/>
    <s v="CPRE459"/>
    <x v="0"/>
    <s v="Pretty Patches"/>
    <d v="2023-03-07T00:00:00"/>
    <d v="2023-07-12T00:00:00"/>
    <n v="127"/>
    <s v="red"/>
    <x v="0"/>
    <n v="335"/>
    <n v="1"/>
    <n v="2"/>
    <n v="4"/>
    <n v="34.659999999999997"/>
    <n v="1.7605999999999999"/>
    <d v="1899-12-30T12:13:52"/>
    <d v="1899-12-30T18:05:00"/>
    <m/>
    <n v="36.700000000000003"/>
    <n v="36.905000000000001"/>
    <n v="0.20499999999999829"/>
    <s v="5:51:08"/>
    <n v="5.6599999999999998E-2"/>
    <n v="36.848399999999998"/>
    <n v="0.1483999999999952"/>
    <n v="36.7742"/>
  </r>
  <r>
    <n v="110"/>
    <s v="CPRE453"/>
    <s v="CPRE459"/>
    <x v="0"/>
    <s v="Pretty Patches"/>
    <d v="2023-03-07T00:00:00"/>
    <d v="2023-07-12T00:00:00"/>
    <n v="127"/>
    <s v="white"/>
    <x v="1"/>
    <n v="151"/>
    <n v="2"/>
    <n v="2"/>
    <n v="1"/>
    <n v="27.3"/>
    <n v="0.80649999999999999"/>
    <d v="1899-12-30T12:13:52"/>
    <d v="1899-12-30T18:05:00"/>
    <m/>
    <n v="36.700000000000003"/>
    <n v="36.905000000000001"/>
    <n v="0.20499999999999829"/>
    <s v="5:51:08"/>
    <n v="5.6599999999999998E-2"/>
    <n v="36.848399999999998"/>
    <n v="0.1483999999999952"/>
    <n v="36.7742"/>
  </r>
  <r>
    <n v="96"/>
    <s v="CARL338"/>
    <s v="CARL345"/>
    <x v="0"/>
    <s v="Arlington Reef"/>
    <d v="2023-02-23T00:00:00"/>
    <d v="2023-07-07T00:00:00"/>
    <n v="134"/>
    <s v="na"/>
    <x v="1"/>
    <n v="233"/>
    <n v="2"/>
    <s v="na"/>
    <s v="na"/>
    <n v="28.29"/>
    <n v="0.8216"/>
    <d v="1899-12-30T13:08:13"/>
    <d v="1899-12-30T18:57:00"/>
    <s v="na"/>
    <s v="na"/>
    <s v="na"/>
    <s v="na"/>
    <s v="5:48:47"/>
    <s v="na"/>
    <s v="na"/>
    <s v="na"/>
    <n v="36.78"/>
  </r>
  <r>
    <n v="96"/>
    <s v="CARL338"/>
    <s v="CARL345"/>
    <x v="0"/>
    <s v="Arlington Reef"/>
    <d v="2023-02-23T00:00:00"/>
    <d v="2023-07-12T00:00:00"/>
    <n v="139"/>
    <s v="red"/>
    <x v="0"/>
    <n v="238"/>
    <n v="2"/>
    <n v="6"/>
    <n v="4"/>
    <n v="31.02"/>
    <n v="1.2379"/>
    <d v="1899-12-30T12:13:52"/>
    <d v="1899-12-30T18:09:00"/>
    <m/>
    <m/>
    <n v="36.795999999999999"/>
    <m/>
    <s v="5:55:08"/>
    <n v="0.01"/>
    <n v="36.786000000000001"/>
    <m/>
    <n v="36.786000000000001"/>
  </r>
  <r>
    <n v="96"/>
    <s v="CARL338"/>
    <s v="CARL345"/>
    <x v="0"/>
    <s v="Arlington Reef"/>
    <d v="2023-02-23T00:00:00"/>
    <d v="2023-07-12T00:00:00"/>
    <n v="139"/>
    <s v="red"/>
    <x v="0"/>
    <n v="238"/>
    <n v="2"/>
    <n v="6"/>
    <n v="3"/>
    <n v="31.33"/>
    <n v="1.321"/>
    <d v="1899-12-30T12:13:52"/>
    <d v="1899-12-30T18:09:00"/>
    <m/>
    <m/>
    <n v="36.795999999999999"/>
    <m/>
    <s v="5:55:08"/>
    <n v="0.01"/>
    <n v="36.786000000000001"/>
    <m/>
    <n v="36.786000000000001"/>
  </r>
  <r>
    <n v="96"/>
    <s v="CARL338"/>
    <s v="CARL345"/>
    <x v="0"/>
    <s v="Arlington Reef"/>
    <d v="2023-02-23T00:00:00"/>
    <d v="2023-07-12T00:00:00"/>
    <n v="139"/>
    <s v="red"/>
    <x v="0"/>
    <n v="238"/>
    <n v="2"/>
    <n v="6"/>
    <n v="1"/>
    <n v="32.89"/>
    <n v="1.4782999999999999"/>
    <d v="1899-12-30T12:13:52"/>
    <d v="1899-12-30T18:09:00"/>
    <m/>
    <m/>
    <n v="36.795999999999999"/>
    <m/>
    <s v="5:55:08"/>
    <n v="0.01"/>
    <n v="36.786000000000001"/>
    <m/>
    <n v="36.786000000000001"/>
  </r>
  <r>
    <n v="108"/>
    <s v="CARL369"/>
    <s v="CARL349"/>
    <x v="0"/>
    <s v="Arlington Reef"/>
    <d v="2023-03-05T00:00:00"/>
    <d v="2023-07-06T00:00:00"/>
    <n v="123"/>
    <s v="white"/>
    <x v="0"/>
    <n v="344"/>
    <n v="2"/>
    <n v="4"/>
    <n v="4"/>
    <n v="30.65"/>
    <n v="1.1814"/>
    <d v="1899-12-30T11:43:22"/>
    <d v="1899-12-30T17:32:00"/>
    <m/>
    <n v="36.75"/>
    <n v="36.795999999999999"/>
    <n v="4.5999999999999375E-2"/>
    <s v="5:48:38"/>
    <n v="-2.92E-2"/>
    <n v="36.825200000000002"/>
    <n v="7.5200000000002376E-2"/>
    <n v="36.787599999999998"/>
  </r>
  <r>
    <n v="99"/>
    <s v="CARL335"/>
    <s v="CARL359"/>
    <x v="0"/>
    <s v="Arlington Reef"/>
    <d v="2023-02-23T00:00:00"/>
    <d v="2023-07-13T00:00:00"/>
    <n v="140"/>
    <s v="blue"/>
    <x v="0"/>
    <n v="342"/>
    <n v="2"/>
    <n v="4"/>
    <n v="1"/>
    <n v="30.01"/>
    <n v="1.1308"/>
    <d v="1899-12-30T11:50:15"/>
    <d v="1899-12-30T17:38:00"/>
    <m/>
    <n v="36.85"/>
    <n v="36.756"/>
    <n v="-9.4000000000001194E-2"/>
    <s v="5:47:45"/>
    <n v="1.7999999999999999E-2"/>
    <n v="36.738"/>
    <n v="-0.11200000000000188"/>
    <n v="36.793999999999997"/>
  </r>
  <r>
    <n v="99"/>
    <s v="CARL335"/>
    <s v="CARL359"/>
    <x v="0"/>
    <s v="Arlington Reef"/>
    <d v="2023-02-23T00:00:00"/>
    <d v="2023-07-13T00:00:00"/>
    <n v="140"/>
    <s v="blue"/>
    <x v="0"/>
    <n v="342"/>
    <n v="2"/>
    <n v="4"/>
    <n v="5"/>
    <n v="33.31"/>
    <n v="1.5401"/>
    <d v="1899-12-30T11:50:15"/>
    <d v="1899-12-30T17:38:00"/>
    <m/>
    <n v="36.85"/>
    <n v="36.756"/>
    <n v="-9.4000000000001194E-2"/>
    <s v="5:47:45"/>
    <n v="1.7999999999999999E-2"/>
    <n v="36.738"/>
    <n v="-0.11200000000000188"/>
    <n v="36.793999999999997"/>
  </r>
  <r>
    <n v="120"/>
    <s v="CPRE550"/>
    <s v="CPRE533"/>
    <x v="0"/>
    <s v="Pretty Patches"/>
    <d v="2023-03-21T00:00:00"/>
    <d v="2023-07-12T00:00:00"/>
    <n v="113"/>
    <s v="red"/>
    <x v="0"/>
    <n v="140"/>
    <n v="1"/>
    <n v="1"/>
    <n v="4"/>
    <n v="29.93"/>
    <n v="1.0409999999999999"/>
    <d v="1899-12-30T12:13:52"/>
    <d v="1899-12-30T18:06:00"/>
    <m/>
    <n v="36.799999999999997"/>
    <n v="36.905000000000001"/>
    <n v="0.10500000000000398"/>
    <s v="5:52:08"/>
    <n v="0.11700000000000001"/>
    <n v="36.788000000000004"/>
    <n v="-1.1999999999993349E-2"/>
    <n v="36.793999999999997"/>
  </r>
  <r>
    <n v="120"/>
    <s v="CPRE550"/>
    <s v="CPRE533"/>
    <x v="0"/>
    <s v="Pretty Patches"/>
    <d v="2023-03-21T00:00:00"/>
    <d v="2023-07-12T00:00:00"/>
    <n v="113"/>
    <s v="red"/>
    <x v="0"/>
    <n v="140"/>
    <n v="1"/>
    <n v="1"/>
    <n v="3"/>
    <n v="30.06"/>
    <n v="1.0645"/>
    <d v="1899-12-30T12:13:52"/>
    <d v="1899-12-30T18:06:00"/>
    <m/>
    <n v="36.799999999999997"/>
    <n v="36.905000000000001"/>
    <n v="0.10500000000000398"/>
    <s v="5:52:08"/>
    <n v="0.11700000000000001"/>
    <n v="36.788000000000004"/>
    <n v="-1.1999999999993349E-2"/>
    <n v="36.793999999999997"/>
  </r>
  <r>
    <n v="96"/>
    <s v="CARL338"/>
    <s v="CARL345"/>
    <x v="0"/>
    <s v="Arlington Reef"/>
    <d v="2023-02-23T00:00:00"/>
    <d v="2023-07-06T00:00:00"/>
    <n v="133"/>
    <s v="white"/>
    <x v="0"/>
    <n v="345"/>
    <n v="1"/>
    <n v="6"/>
    <n v="5"/>
    <n v="31.77"/>
    <n v="1.3272999999999999"/>
    <d v="1899-12-30T11:43:22"/>
    <d v="1899-12-30T17:32:00"/>
    <m/>
    <n v="36.799999999999997"/>
    <n v="36.795999999999999"/>
    <n v="-3.9999999999977831E-3"/>
    <s v="5:48:38"/>
    <n v="7.6999999999999996E-4"/>
    <n v="36.795229999999997"/>
    <n v="-4.7700000000006071E-3"/>
    <n v="36.797614999999993"/>
  </r>
  <r>
    <n v="96"/>
    <s v="CARL338"/>
    <s v="CARL345"/>
    <x v="0"/>
    <s v="Arlington Reef"/>
    <d v="2023-02-23T00:00:00"/>
    <d v="2023-07-06T00:00:00"/>
    <n v="133"/>
    <s v="white"/>
    <x v="0"/>
    <n v="345"/>
    <n v="1"/>
    <n v="6"/>
    <n v="2"/>
    <n v="32.79"/>
    <n v="1.5218"/>
    <d v="1899-12-30T11:43:22"/>
    <d v="1899-12-30T17:32:00"/>
    <m/>
    <n v="36.799999999999997"/>
    <n v="36.795999999999999"/>
    <n v="-3.9999999999977831E-3"/>
    <s v="5:48:38"/>
    <n v="7.6999999999999996E-4"/>
    <n v="36.795229999999997"/>
    <n v="-4.7700000000006071E-3"/>
    <n v="36.797614999999993"/>
  </r>
  <r>
    <n v="96"/>
    <s v="CARL338"/>
    <s v="CARL345"/>
    <x v="0"/>
    <s v="Arlington Reef"/>
    <d v="2023-02-23T00:00:00"/>
    <d v="2023-07-06T00:00:00"/>
    <n v="133"/>
    <s v="white"/>
    <x v="0"/>
    <n v="345"/>
    <n v="1"/>
    <n v="6"/>
    <n v="4"/>
    <n v="33.909999999999997"/>
    <n v="1.5448"/>
    <d v="1899-12-30T11:43:22"/>
    <d v="1899-12-30T17:32:00"/>
    <m/>
    <n v="36.799999999999997"/>
    <n v="36.795999999999999"/>
    <n v="-3.9999999999977831E-3"/>
    <s v="5:48:38"/>
    <n v="7.6999999999999996E-4"/>
    <n v="36.795229999999997"/>
    <n v="-4.7700000000006071E-3"/>
    <n v="36.797614999999993"/>
  </r>
  <r>
    <n v="110"/>
    <s v="CPRE453"/>
    <s v="CPRE459"/>
    <x v="0"/>
    <s v="Pretty Patches"/>
    <d v="2023-03-07T00:00:00"/>
    <d v="2023-07-13T00:00:00"/>
    <n v="128"/>
    <s v="blue"/>
    <x v="0"/>
    <n v="347"/>
    <n v="2"/>
    <n v="2"/>
    <n v="1"/>
    <n v="39.93"/>
    <n v="1.0465"/>
    <d v="1899-12-30T11:50:15"/>
    <d v="1899-12-30T17:34:00"/>
    <m/>
    <n v="36.799999999999997"/>
    <n v="36.795999999999999"/>
    <n v="-3.9999999999977831E-3"/>
    <s v="5:43:45"/>
    <n v="0"/>
    <n v="36.795999999999999"/>
    <n v="-3.9999999999977831E-3"/>
    <n v="36.798000000000002"/>
  </r>
  <r>
    <n v="110"/>
    <s v="CPRE453"/>
    <s v="CPRE459"/>
    <x v="0"/>
    <s v="Pretty Patches"/>
    <d v="2023-03-07T00:00:00"/>
    <d v="2023-07-13T00:00:00"/>
    <n v="128"/>
    <s v="blue"/>
    <x v="0"/>
    <n v="347"/>
    <n v="2"/>
    <n v="2"/>
    <n v="2"/>
    <n v="30.12"/>
    <n v="1.0734999999999999"/>
    <d v="1899-12-30T11:50:15"/>
    <d v="1899-12-30T17:34:00"/>
    <m/>
    <n v="36.799999999999997"/>
    <n v="36.795999999999999"/>
    <n v="-3.9999999999977831E-3"/>
    <s v="5:43:45"/>
    <n v="0"/>
    <n v="36.795999999999999"/>
    <n v="-3.9999999999977831E-3"/>
    <n v="36.798000000000002"/>
  </r>
  <r>
    <n v="108"/>
    <s v="CARL369"/>
    <s v="CARL349"/>
    <x v="0"/>
    <s v="Arlington Reef"/>
    <d v="2023-03-05T00:00:00"/>
    <d v="2023-07-06T00:00:00"/>
    <n v="123"/>
    <s v="white"/>
    <x v="0"/>
    <n v="344"/>
    <n v="2"/>
    <n v="4"/>
    <n v="3"/>
    <n v="29.87"/>
    <n v="1.1176999999999999"/>
    <d v="1899-12-30T11:43:22"/>
    <d v="1899-12-30T17:30:00"/>
    <m/>
    <n v="36.799999999999997"/>
    <n v="36.768999999999998"/>
    <n v="-3.0999999999998806E-2"/>
    <s v="5:46:38"/>
    <n v="-2.92E-2"/>
    <n v="36.798200000000001"/>
    <n v="-1.799999999995805E-3"/>
    <n v="36.799099999999996"/>
  </r>
  <r>
    <n v="108"/>
    <s v="CARL369"/>
    <s v="CARL349"/>
    <x v="0"/>
    <s v="Arlington Reef"/>
    <d v="2023-03-05T00:00:00"/>
    <d v="2023-07-06T00:00:00"/>
    <n v="123"/>
    <s v="white"/>
    <x v="0"/>
    <n v="344"/>
    <n v="2"/>
    <n v="4"/>
    <n v="5"/>
    <n v="32.630000000000003"/>
    <n v="1.4314"/>
    <d v="1899-12-30T11:43:22"/>
    <d v="1899-12-30T17:30:00"/>
    <m/>
    <n v="36.799999999999997"/>
    <n v="36.768999999999998"/>
    <n v="-3.0999999999998806E-2"/>
    <s v="5:46:38"/>
    <n v="-2.92E-2"/>
    <n v="36.798200000000001"/>
    <n v="-1.799999999995805E-3"/>
    <n v="36.799099999999996"/>
  </r>
  <r>
    <n v="60"/>
    <s v="LCKM159"/>
    <s v="LCKM155"/>
    <x v="1"/>
    <s v="Cockermouth Island"/>
    <d v="2023-01-17T00:00:00"/>
    <d v="2023-06-09T00:00:00"/>
    <n v="143"/>
    <s v="blue"/>
    <x v="0"/>
    <n v="142"/>
    <n v="1"/>
    <n v="1"/>
    <n v="5"/>
    <n v="28.84"/>
    <n v="0.99"/>
    <d v="1899-12-30T11:33:47"/>
    <d v="1899-12-30T17:25:00"/>
    <n v="36.814"/>
    <n v="36.75"/>
    <n v="36.878"/>
    <n v="0.12800000000000011"/>
    <s v="5:51:13"/>
    <n v="2.9250000000000002E-2"/>
    <n v="36.848750000000003"/>
    <n v="9.8750000000002558E-2"/>
    <n v="36.799374999999998"/>
  </r>
  <r>
    <n v="60"/>
    <s v="LCKM159"/>
    <s v="LCKM155"/>
    <x v="1"/>
    <s v="Cockermouth Island"/>
    <d v="2023-01-17T00:00:00"/>
    <d v="2023-06-09T00:00:00"/>
    <n v="143"/>
    <s v="blue"/>
    <x v="0"/>
    <n v="142"/>
    <n v="1"/>
    <n v="1"/>
    <n v="3"/>
    <n v="31.77"/>
    <n v="1.2907"/>
    <d v="1899-12-30T11:33:47"/>
    <d v="1899-12-30T17:25:00"/>
    <n v="36.814"/>
    <n v="36.75"/>
    <n v="36.878"/>
    <n v="0.12800000000000011"/>
    <s v="5:51:13"/>
    <n v="2.9250000000000002E-2"/>
    <n v="36.848750000000003"/>
    <n v="9.8750000000002558E-2"/>
    <n v="36.799374999999998"/>
  </r>
  <r>
    <n v="60"/>
    <s v="LCKM159"/>
    <s v="LCKM155"/>
    <x v="1"/>
    <s v="Cockermouth Island"/>
    <d v="2023-01-17T00:00:00"/>
    <d v="2023-06-09T00:00:00"/>
    <n v="143"/>
    <s v="blue"/>
    <x v="0"/>
    <n v="142"/>
    <n v="1"/>
    <n v="1"/>
    <n v="2"/>
    <n v="33.57"/>
    <n v="1.4182999999999999"/>
    <d v="1899-12-30T11:33:47"/>
    <d v="1899-12-30T17:25:00"/>
    <n v="36.814"/>
    <n v="36.75"/>
    <n v="36.878"/>
    <n v="0.12800000000000011"/>
    <s v="5:51:13"/>
    <n v="2.9250000000000002E-2"/>
    <n v="36.848750000000003"/>
    <n v="9.8750000000002558E-2"/>
    <n v="36.799374999999998"/>
  </r>
  <r>
    <n v="69"/>
    <s v="LCKM164"/>
    <s v="LCKM156"/>
    <x v="1"/>
    <s v="Cockermouth Island"/>
    <d v="2023-01-30T00:00:00"/>
    <d v="2023-06-11T00:00:00"/>
    <n v="132"/>
    <s v="na"/>
    <x v="0"/>
    <n v="237"/>
    <n v="2"/>
    <s v="na"/>
    <s v="na"/>
    <n v="29.74"/>
    <n v="0.91610000000000003"/>
    <d v="1899-12-30T13:01:00"/>
    <d v="1899-12-30T18:52:00"/>
    <s v="na"/>
    <s v="na"/>
    <s v="na"/>
    <s v="na"/>
    <s v="5:51:00"/>
    <s v="na"/>
    <s v="na"/>
    <s v="na"/>
    <n v="36.799999999999997"/>
  </r>
  <r>
    <n v="69"/>
    <s v="LCKM164"/>
    <s v="LCKM156"/>
    <x v="1"/>
    <s v="Cockermouth Island"/>
    <d v="2023-01-30T00:00:00"/>
    <d v="2023-06-11T00:00:00"/>
    <n v="132"/>
    <s v="na"/>
    <x v="0"/>
    <n v="237"/>
    <n v="2"/>
    <s v="na"/>
    <s v="na"/>
    <n v="34.58"/>
    <n v="1.5043"/>
    <d v="1899-12-30T13:01:00"/>
    <d v="1899-12-30T18:58:00"/>
    <s v="na"/>
    <s v="na"/>
    <s v="na"/>
    <s v="na"/>
    <s v="5:57:00"/>
    <s v="na"/>
    <s v="na"/>
    <s v="na"/>
    <n v="36.799999999999997"/>
  </r>
  <r>
    <n v="69"/>
    <s v="LCKM164"/>
    <s v="LCKM156"/>
    <x v="1"/>
    <s v="Cockermouth Island"/>
    <d v="2023-01-30T00:00:00"/>
    <d v="2023-06-11T00:00:00"/>
    <n v="132"/>
    <s v="na"/>
    <x v="2"/>
    <n v="259"/>
    <n v="1"/>
    <s v="na"/>
    <s v="na"/>
    <n v="29.41"/>
    <n v="0.95209999999999995"/>
    <d v="1899-12-30T13:01:00"/>
    <d v="1899-12-30T18:58:00"/>
    <s v="na"/>
    <s v="na"/>
    <s v="na"/>
    <s v="na"/>
    <s v="5:57:00"/>
    <s v="na"/>
    <s v="na"/>
    <s v="na"/>
    <n v="36.799999999999997"/>
  </r>
  <r>
    <n v="74"/>
    <s v="LSBI023"/>
    <s v="LCHA118"/>
    <x v="1"/>
    <s v="Chauvel Reef/St. Bee's Island"/>
    <d v="2023-02-01T00:00:00"/>
    <d v="2023-06-09T00:00:00"/>
    <n v="128"/>
    <s v="blue"/>
    <x v="0"/>
    <n v="144"/>
    <n v="1"/>
    <n v="4"/>
    <n v="2"/>
    <n v="30.53"/>
    <n v="0.98180000000000001"/>
    <d v="1899-12-30T11:33:47"/>
    <d v="1899-12-30T17:27:00"/>
    <n v="36.799999999999997"/>
    <n v="36.799999999999997"/>
    <s v="na"/>
    <m/>
    <s v="5:53:13"/>
    <n v="2.9250000000000002E-2"/>
    <m/>
    <m/>
    <n v="36.799999999999997"/>
  </r>
  <r>
    <n v="89"/>
    <s v="LCKM159"/>
    <s v="LCKM155"/>
    <x v="1"/>
    <s v="Cockermouth Island"/>
    <d v="2023-02-10T00:00:00"/>
    <d v="2023-06-16T00:00:00"/>
    <n v="126"/>
    <s v="na"/>
    <x v="0"/>
    <n v="246"/>
    <n v="1"/>
    <s v="na"/>
    <s v="na"/>
    <n v="35.51"/>
    <n v="1.4967999999999999"/>
    <d v="1899-12-30T12:00:00"/>
    <d v="1899-12-30T17:55:00"/>
    <s v="na"/>
    <s v="na"/>
    <s v="na"/>
    <s v="na"/>
    <s v="5:55:00"/>
    <s v="na"/>
    <s v="na"/>
    <s v="na"/>
    <n v="36.799999999999997"/>
  </r>
  <r>
    <n v="75"/>
    <s v="LSBI034"/>
    <s v="LCHA120"/>
    <x v="1"/>
    <s v="Chauvel Reef/St. Bee's Island"/>
    <d v="2023-02-02T00:00:00"/>
    <d v="2023-06-06T00:00:00"/>
    <n v="124"/>
    <s v="blue"/>
    <x v="0"/>
    <n v="139"/>
    <n v="2"/>
    <n v="3"/>
    <n v="4"/>
    <n v="30.77"/>
    <n v="1.2195"/>
    <d v="1899-12-30T10:33:39"/>
    <d v="1899-12-30T16:55:00"/>
    <n v="36.852499999999999"/>
    <n v="36.799999999999997"/>
    <n v="36.905000000000001"/>
    <n v="0.10500000000000398"/>
    <s v="6:21:21"/>
    <n v="0.1047"/>
    <n v="36.8003"/>
    <n v="3.0000000000285354E-4"/>
    <n v="36.800150000000002"/>
  </r>
  <r>
    <n v="75"/>
    <s v="LSBI034"/>
    <s v="LCHA120"/>
    <x v="1"/>
    <s v="Chauvel Reef/St. Bee's Island"/>
    <d v="2023-02-02T00:00:00"/>
    <d v="2023-06-06T00:00:00"/>
    <n v="124"/>
    <s v="white"/>
    <x v="1"/>
    <n v="134"/>
    <n v="2"/>
    <n v="3"/>
    <n v="1"/>
    <n v="27.24"/>
    <n v="0.72340000000000004"/>
    <d v="1899-12-30T10:33:39"/>
    <d v="1899-12-30T16:55:00"/>
    <n v="36.852499999999999"/>
    <n v="36.799999999999997"/>
    <n v="36.905000000000001"/>
    <n v="0.10500000000000398"/>
    <s v="6:21:21"/>
    <n v="0.1047"/>
    <n v="36.8003"/>
    <n v="3.0000000000285354E-4"/>
    <n v="36.800150000000002"/>
  </r>
  <r>
    <n v="69"/>
    <s v="LCKM164"/>
    <s v="LCKM156"/>
    <x v="1"/>
    <s v="Cockermouth Island"/>
    <d v="2023-01-30T00:00:00"/>
    <d v="2023-06-06T00:00:00"/>
    <n v="127"/>
    <s v="white"/>
    <x v="1"/>
    <n v="129"/>
    <n v="2"/>
    <n v="2"/>
    <n v="1"/>
    <n v="32.729999999999997"/>
    <n v="1.3666"/>
    <d v="1899-12-30T10:33:39"/>
    <d v="1899-12-30T16:58:00"/>
    <n v="36.838999999999999"/>
    <n v="36.799999999999997"/>
    <n v="36.878"/>
    <n v="7.8000000000002956E-2"/>
    <s v="6:24:21"/>
    <n v="7.6850000000000002E-2"/>
    <n v="36.80115"/>
    <n v="1.1500000000026489E-3"/>
    <n v="36.800574999999995"/>
  </r>
  <r>
    <n v="96"/>
    <s v="CARL338"/>
    <s v="CARL345"/>
    <x v="0"/>
    <s v="Arlington Reef"/>
    <d v="2023-02-23T00:00:00"/>
    <d v="2023-07-13T00:00:00"/>
    <n v="140"/>
    <s v="na"/>
    <x v="1"/>
    <n v="233"/>
    <n v="2"/>
    <s v="na"/>
    <s v="na"/>
    <n v="29.34"/>
    <n v="0.96309999999999996"/>
    <d v="1899-12-30T11:45:00"/>
    <d v="1899-12-30T17:40:00"/>
    <s v="na"/>
    <s v="na"/>
    <s v="na"/>
    <s v="na"/>
    <s v="5:55:00"/>
    <s v="na"/>
    <s v="na"/>
    <s v="na"/>
    <n v="36.81"/>
  </r>
  <r>
    <n v="102"/>
    <s v="LSBI034"/>
    <s v="LCHA120"/>
    <x v="1"/>
    <s v="Chauvel Reef/St. Bee's Island"/>
    <d v="2023-02-27T00:00:00"/>
    <d v="2023-07-06T00:00:00"/>
    <n v="129"/>
    <s v="white"/>
    <x v="0"/>
    <n v="240"/>
    <n v="2"/>
    <n v="5"/>
    <n v="1"/>
    <n v="31.21"/>
    <n v="1.1913"/>
    <d v="1899-12-30T11:43:22"/>
    <d v="1899-12-30T17:34:00"/>
    <m/>
    <n v="36.799999999999997"/>
    <n v="36.933"/>
    <n v="0.13300000000000267"/>
    <s v="5:50:38"/>
    <n v="0.111"/>
    <n v="36.822000000000003"/>
    <n v="2.2000000000005571E-2"/>
    <n v="36.811"/>
  </r>
  <r>
    <n v="102"/>
    <s v="LSBI034"/>
    <s v="LCHA120"/>
    <x v="1"/>
    <s v="Chauvel Reef/St. Bee's Island"/>
    <d v="2023-02-27T00:00:00"/>
    <d v="2023-07-06T00:00:00"/>
    <n v="129"/>
    <s v="white"/>
    <x v="0"/>
    <n v="240"/>
    <n v="2"/>
    <n v="5"/>
    <n v="5"/>
    <n v="31.35"/>
    <n v="1.2434000000000001"/>
    <d v="1899-12-30T11:43:22"/>
    <d v="1899-12-30T17:34:00"/>
    <m/>
    <n v="36.799999999999997"/>
    <n v="36.933"/>
    <n v="0.13300000000000267"/>
    <s v="5:50:38"/>
    <n v="0.111"/>
    <n v="36.822000000000003"/>
    <n v="2.2000000000005571E-2"/>
    <n v="36.811"/>
  </r>
  <r>
    <n v="102"/>
    <s v="LSBI034"/>
    <s v="LCHA120"/>
    <x v="1"/>
    <s v="Chauvel Reef/St. Bee's Island"/>
    <d v="2023-02-27T00:00:00"/>
    <d v="2023-07-06T00:00:00"/>
    <n v="129"/>
    <s v="red"/>
    <x v="1"/>
    <n v="353"/>
    <n v="2"/>
    <n v="5"/>
    <n v="5"/>
    <n v="30.31"/>
    <n v="1.2123999999999999"/>
    <d v="1899-12-30T11:43:22"/>
    <d v="1899-12-30T17:34:00"/>
    <m/>
    <n v="36.799999999999997"/>
    <n v="36.933"/>
    <n v="0.13300000000000267"/>
    <s v="5:50:38"/>
    <n v="0.111"/>
    <n v="36.822000000000003"/>
    <n v="2.2000000000005571E-2"/>
    <n v="36.811"/>
  </r>
  <r>
    <n v="102"/>
    <s v="LSBI034"/>
    <s v="LCHA120"/>
    <x v="1"/>
    <s v="Chauvel Reef/St. Bee's Island"/>
    <d v="2023-02-27T00:00:00"/>
    <d v="2023-07-06T00:00:00"/>
    <n v="129"/>
    <s v="red"/>
    <x v="1"/>
    <n v="353"/>
    <n v="2"/>
    <n v="5"/>
    <n v="3"/>
    <n v="32.97"/>
    <n v="1.5126999999999999"/>
    <d v="1899-12-30T11:43:22"/>
    <d v="1899-12-30T17:34:00"/>
    <m/>
    <n v="36.799999999999997"/>
    <n v="36.933"/>
    <n v="0.13300000000000267"/>
    <s v="5:50:38"/>
    <n v="0.111"/>
    <n v="36.822000000000003"/>
    <n v="2.2000000000005571E-2"/>
    <n v="36.811"/>
  </r>
  <r>
    <n v="101"/>
    <s v="LSBI028"/>
    <s v="LSBI027"/>
    <x v="1"/>
    <s v="St. Bee's Island"/>
    <d v="2023-02-25T00:00:00"/>
    <d v="2023-07-12T00:00:00"/>
    <n v="137"/>
    <s v="red"/>
    <x v="0"/>
    <n v="339"/>
    <n v="1"/>
    <n v="3"/>
    <n v="2"/>
    <n v="30.8"/>
    <n v="1.1023000000000001"/>
    <d v="1899-12-30T12:13:52"/>
    <d v="1899-12-30T18:07:00"/>
    <m/>
    <n v="36.799999999999997"/>
    <n v="36.905000000000001"/>
    <n v="0.10500000000000398"/>
    <s v="5:53:08"/>
    <n v="8.0199999999999994E-2"/>
    <n v="36.824800000000003"/>
    <n v="2.480000000000615E-2"/>
    <n v="36.812399999999997"/>
  </r>
  <r>
    <n v="101"/>
    <s v="LSBI028"/>
    <s v="LSBI027"/>
    <x v="1"/>
    <s v="St. Bee's Island"/>
    <d v="2023-02-25T00:00:00"/>
    <d v="2023-07-12T00:00:00"/>
    <n v="137"/>
    <s v="red"/>
    <x v="0"/>
    <n v="339"/>
    <n v="1"/>
    <n v="3"/>
    <n v="4"/>
    <n v="33.049999999999997"/>
    <n v="1.4098999999999999"/>
    <d v="1899-12-30T12:13:52"/>
    <d v="1899-12-30T18:07:00"/>
    <m/>
    <n v="36.799999999999997"/>
    <n v="36.905000000000001"/>
    <n v="0.10500000000000398"/>
    <s v="5:53:08"/>
    <n v="8.0199999999999994E-2"/>
    <n v="36.824800000000003"/>
    <n v="2.480000000000615E-2"/>
    <n v="36.812399999999997"/>
  </r>
  <r>
    <n v="101"/>
    <s v="LSBI028"/>
    <s v="LSBI027"/>
    <x v="1"/>
    <s v="St. Bee's Island"/>
    <d v="2023-02-25T00:00:00"/>
    <d v="2023-07-12T00:00:00"/>
    <n v="137"/>
    <s v="red"/>
    <x v="0"/>
    <n v="339"/>
    <n v="1"/>
    <n v="3"/>
    <n v="3"/>
    <n v="34.9"/>
    <n v="1.6314"/>
    <d v="1899-12-30T12:13:52"/>
    <d v="1899-12-30T18:07:00"/>
    <m/>
    <n v="36.799999999999997"/>
    <n v="36.905000000000001"/>
    <n v="0.10500000000000398"/>
    <s v="5:53:08"/>
    <n v="8.0199999999999994E-2"/>
    <n v="36.824800000000003"/>
    <n v="2.480000000000615E-2"/>
    <n v="36.812399999999997"/>
  </r>
  <r>
    <n v="69"/>
    <s v="LCKM164"/>
    <s v="LCKM156"/>
    <x v="1"/>
    <s v="Cockermouth Island"/>
    <d v="2023-01-30T00:00:00"/>
    <d v="2023-06-06T00:00:00"/>
    <n v="127"/>
    <s v="blue"/>
    <x v="0"/>
    <n v="237"/>
    <n v="2"/>
    <n v="2"/>
    <n v="2"/>
    <n v="28.11"/>
    <n v="0.87319999999999998"/>
    <d v="1899-12-30T10:33:39"/>
    <d v="1899-12-30T17:00:00"/>
    <n v="36.852499999999999"/>
    <n v="36.799999999999997"/>
    <n v="36.905000000000001"/>
    <n v="0.10500000000000398"/>
    <s v="6:26:21"/>
    <n v="7.6850000000000002E-2"/>
    <n v="36.828150000000001"/>
    <n v="2.8150000000003672E-2"/>
    <n v="36.814075000000003"/>
  </r>
  <r>
    <n v="69"/>
    <s v="LCKM164"/>
    <s v="LCKM156"/>
    <x v="1"/>
    <s v="Cockermouth Island"/>
    <d v="2023-01-30T00:00:00"/>
    <d v="2023-06-06T00:00:00"/>
    <n v="127"/>
    <s v="white"/>
    <x v="1"/>
    <n v="129"/>
    <n v="2"/>
    <n v="2"/>
    <n v="3"/>
    <n v="27.95"/>
    <n v="0.85329999999999995"/>
    <d v="1899-12-30T10:33:39"/>
    <d v="1899-12-30T17:00:00"/>
    <n v="36.852499999999999"/>
    <n v="36.799999999999997"/>
    <n v="36.905000000000001"/>
    <n v="0.10500000000000398"/>
    <s v="6:26:21"/>
    <n v="7.6850000000000002E-2"/>
    <n v="36.828150000000001"/>
    <n v="2.8150000000003672E-2"/>
    <n v="36.814075000000003"/>
  </r>
  <r>
    <n v="107"/>
    <s v="CPRE521"/>
    <s v="CPRE524"/>
    <x v="0"/>
    <s v="Pretty Patches"/>
    <d v="2023-03-05T00:00:00"/>
    <d v="2023-07-06T00:00:00"/>
    <n v="123"/>
    <s v="white"/>
    <x v="0"/>
    <n v="141"/>
    <n v="2"/>
    <n v="3"/>
    <n v="3"/>
    <n v="34.17"/>
    <n v="1.6454"/>
    <d v="1899-12-30T11:43:22"/>
    <d v="1899-12-30T17:29:00"/>
    <m/>
    <n v="36.85"/>
    <n v="36.905000000000001"/>
    <n v="5.4999999999999716E-2"/>
    <s v="5:45:38"/>
    <n v="0.124"/>
    <n v="36.780999999999999"/>
    <n v="-6.9000000000002615E-2"/>
    <n v="36.8155"/>
  </r>
  <r>
    <n v="110"/>
    <s v="CPRE453"/>
    <s v="CPRE459"/>
    <x v="0"/>
    <s v="Pretty Patches"/>
    <d v="2023-03-07T00:00:00"/>
    <d v="2023-07-12T00:00:00"/>
    <n v="127"/>
    <s v="red"/>
    <x v="0"/>
    <n v="335"/>
    <n v="1"/>
    <n v="2"/>
    <n v="2"/>
    <n v="34.19"/>
    <n v="1.5544"/>
    <d v="1899-12-30T12:13:52"/>
    <d v="1899-12-30T18:04:00"/>
    <m/>
    <m/>
    <n v="36.878"/>
    <m/>
    <s v="5:50:08"/>
    <n v="5.6599999999999998E-2"/>
    <n v="36.821399999999997"/>
    <m/>
    <n v="36.821399999999997"/>
  </r>
  <r>
    <n v="65"/>
    <s v="LSBI028"/>
    <s v="LSBI027"/>
    <x v="1"/>
    <s v="St. Bee's Island"/>
    <d v="2023-01-27T00:00:00"/>
    <d v="2023-06-06T00:00:00"/>
    <n v="130"/>
    <s v="white"/>
    <x v="1"/>
    <n v="232"/>
    <n v="2"/>
    <n v="5"/>
    <n v="3"/>
    <n v="34.43"/>
    <n v="1.6047"/>
    <d v="1899-12-30T10:33:39"/>
    <d v="1899-12-30T17:04:00"/>
    <n v="36.933"/>
    <m/>
    <n v="36.933"/>
    <m/>
    <s v="6:30:21"/>
    <n v="0.10340000000000001"/>
    <n v="36.829599999999999"/>
    <m/>
    <n v="36.829599999999999"/>
  </r>
  <r>
    <n v="65"/>
    <s v="LSBI028"/>
    <s v="LSBI027"/>
    <x v="1"/>
    <s v="St. Bee's Island"/>
    <d v="2023-01-27T00:00:00"/>
    <d v="2023-06-06T00:00:00"/>
    <n v="130"/>
    <s v="red"/>
    <x v="2"/>
    <n v="126"/>
    <n v="2"/>
    <n v="5"/>
    <n v="4"/>
    <n v="30.05"/>
    <n v="1.0521"/>
    <d v="1899-12-30T10:33:39"/>
    <d v="1899-12-30T17:04:00"/>
    <n v="36.933"/>
    <m/>
    <n v="36.933"/>
    <m/>
    <s v="6:30:21"/>
    <n v="0.10340000000000001"/>
    <n v="36.829599999999999"/>
    <m/>
    <n v="36.829599999999999"/>
  </r>
  <r>
    <n v="65"/>
    <s v="LSBI028"/>
    <s v="LSBI027"/>
    <x v="1"/>
    <s v="St. Bee's Island"/>
    <d v="2023-01-27T00:00:00"/>
    <d v="2023-06-06T00:00:00"/>
    <n v="130"/>
    <s v="red"/>
    <x v="2"/>
    <n v="126"/>
    <n v="2"/>
    <n v="5"/>
    <n v="1"/>
    <n v="31.52"/>
    <n v="1.2126999999999999"/>
    <d v="1899-12-30T10:33:39"/>
    <d v="1899-12-30T17:04:00"/>
    <n v="36.933"/>
    <m/>
    <n v="36.933"/>
    <m/>
    <s v="6:30:21"/>
    <n v="0.10340000000000001"/>
    <n v="36.829599999999999"/>
    <m/>
    <n v="36.829599999999999"/>
  </r>
  <r>
    <n v="120"/>
    <s v="CPRE550"/>
    <s v="CPRE533"/>
    <x v="0"/>
    <s v="Pretty Patches"/>
    <d v="2023-03-21T00:00:00"/>
    <d v="2023-07-07T00:00:00"/>
    <n v="108"/>
    <s v="na"/>
    <x v="2"/>
    <n v="326"/>
    <n v="2"/>
    <s v="na"/>
    <s v="na"/>
    <n v="31.02"/>
    <n v="1.0624"/>
    <d v="1899-12-30T13:08:13"/>
    <d v="1899-12-30T19:02:00"/>
    <s v="na"/>
    <s v="na"/>
    <s v="na"/>
    <s v="na"/>
    <s v="5:53:47"/>
    <s v="na"/>
    <s v="na"/>
    <s v="na"/>
    <n v="36.83"/>
  </r>
  <r>
    <n v="120"/>
    <s v="CPRE550"/>
    <s v="CPRE533"/>
    <x v="0"/>
    <s v="Pretty Patches"/>
    <d v="2023-03-21T00:00:00"/>
    <d v="2023-07-12T00:00:00"/>
    <n v="113"/>
    <s v="red"/>
    <x v="0"/>
    <n v="140"/>
    <n v="1"/>
    <n v="1"/>
    <n v="2"/>
    <n v="28.97"/>
    <n v="0.94240000000000002"/>
    <d v="1899-12-30T12:13:52"/>
    <d v="1899-12-30T18:11:00"/>
    <m/>
    <n v="36.799999999999997"/>
    <n v="36.987000000000002"/>
    <n v="0.18700000000000472"/>
    <s v="5:57:08"/>
    <n v="0.11700000000000001"/>
    <n v="36.870000000000005"/>
    <n v="7.000000000000739E-2"/>
    <n v="36.835000000000001"/>
  </r>
  <r>
    <n v="65"/>
    <s v="LSBI028"/>
    <s v="LSBI027"/>
    <x v="1"/>
    <s v="St. Bee's Island"/>
    <d v="2023-01-27T00:00:00"/>
    <d v="2023-06-09T00:00:00"/>
    <n v="133"/>
    <s v="blue"/>
    <x v="0"/>
    <n v="147"/>
    <n v="1"/>
    <n v="3"/>
    <n v="3"/>
    <n v="32.11"/>
    <n v="1.3546"/>
    <d v="1899-12-30T11:33:47"/>
    <d v="1899-12-30T17:27:30"/>
    <n v="36.852499999999999"/>
    <n v="36.799999999999997"/>
    <n v="36.905000000000001"/>
    <n v="0.10500000000000398"/>
    <s v="5:53:43"/>
    <n v="3.3820000000000003E-2"/>
    <n v="36.871180000000003"/>
    <n v="7.118000000000535E-2"/>
    <n v="36.835589999999996"/>
  </r>
  <r>
    <n v="65"/>
    <s v="LSBI028"/>
    <s v="LSBI027"/>
    <x v="1"/>
    <s v="St. Bee's Island"/>
    <d v="2023-01-27T00:00:00"/>
    <d v="2023-06-09T00:00:00"/>
    <n v="133"/>
    <s v="blue"/>
    <x v="0"/>
    <n v="147"/>
    <n v="1"/>
    <n v="3"/>
    <n v="5"/>
    <n v="33.89"/>
    <n v="1.5185"/>
    <d v="1899-12-30T11:33:47"/>
    <d v="1899-12-30T17:27:30"/>
    <n v="36.852499999999999"/>
    <n v="36.799999999999997"/>
    <n v="36.905000000000001"/>
    <n v="0.10500000000000398"/>
    <s v="5:53:43"/>
    <n v="3.3820000000000003E-2"/>
    <n v="36.871180000000003"/>
    <n v="7.118000000000535E-2"/>
    <n v="36.835589999999996"/>
  </r>
  <r>
    <n v="65"/>
    <s v="LSBI028"/>
    <s v="LSBI027"/>
    <x v="1"/>
    <s v="St. Bee's Island"/>
    <d v="2023-01-27T00:00:00"/>
    <d v="2023-06-09T00:00:00"/>
    <n v="133"/>
    <s v="white"/>
    <x v="1"/>
    <n v="232"/>
    <n v="1"/>
    <n v="3"/>
    <n v="2"/>
    <n v="28.05"/>
    <n v="0.79790000000000005"/>
    <d v="1899-12-30T11:33:47"/>
    <d v="1899-12-30T17:27:30"/>
    <n v="36.852499999999999"/>
    <n v="36.799999999999997"/>
    <n v="36.905000000000001"/>
    <n v="0.10500000000000398"/>
    <s v="5:53:43"/>
    <n v="3.3820000000000003E-2"/>
    <n v="36.871180000000003"/>
    <n v="7.118000000000535E-2"/>
    <n v="36.835589999999996"/>
  </r>
  <r>
    <n v="65"/>
    <s v="LSBI028"/>
    <s v="LSBI027"/>
    <x v="1"/>
    <s v="St. Bee's Island"/>
    <d v="2023-01-27T00:00:00"/>
    <d v="2023-06-09T00:00:00"/>
    <n v="133"/>
    <s v="white"/>
    <x v="1"/>
    <n v="232"/>
    <n v="1"/>
    <n v="3"/>
    <n v="5"/>
    <n v="37.58"/>
    <n v="2.1318000000000001"/>
    <d v="1899-12-30T11:33:47"/>
    <d v="1899-12-30T17:27:30"/>
    <n v="36.852499999999999"/>
    <n v="36.799999999999997"/>
    <n v="36.905000000000001"/>
    <n v="0.10500000000000398"/>
    <s v="5:53:43"/>
    <n v="3.3820000000000003E-2"/>
    <n v="36.871180000000003"/>
    <n v="7.118000000000535E-2"/>
    <n v="36.835589999999996"/>
  </r>
  <r>
    <n v="101"/>
    <s v="LSBI028"/>
    <s v="LSBI027"/>
    <x v="1"/>
    <s v="St. Bee's Island"/>
    <d v="2023-02-25T00:00:00"/>
    <d v="2023-07-13T00:00:00"/>
    <n v="138"/>
    <s v="blue"/>
    <x v="0"/>
    <n v="339"/>
    <n v="1"/>
    <n v="1"/>
    <n v="5"/>
    <n v="25.76"/>
    <n v="1.7833000000000001"/>
    <d v="1899-12-30T11:50:15"/>
    <d v="1899-12-30T17:42:00"/>
    <m/>
    <m/>
    <n v="36.905000000000001"/>
    <m/>
    <s v="5:51:45"/>
    <n v="6.8000000000000005E-2"/>
    <n v="36.837000000000003"/>
    <m/>
    <n v="36.837000000000003"/>
  </r>
  <r>
    <n v="101"/>
    <s v="LSBI028"/>
    <s v="LSBI027"/>
    <x v="1"/>
    <s v="St. Bee's Island"/>
    <d v="2023-02-25T00:00:00"/>
    <d v="2023-07-13T00:00:00"/>
    <n v="138"/>
    <s v="blue"/>
    <x v="0"/>
    <n v="339"/>
    <n v="1"/>
    <n v="1"/>
    <n v="4"/>
    <n v="36.92"/>
    <n v="1.8857999999999999"/>
    <d v="1899-12-30T11:50:15"/>
    <d v="1899-12-30T17:42:00"/>
    <m/>
    <m/>
    <n v="36.905000000000001"/>
    <m/>
    <s v="5:51:45"/>
    <n v="6.8000000000000005E-2"/>
    <n v="36.837000000000003"/>
    <m/>
    <n v="36.837000000000003"/>
  </r>
  <r>
    <n v="101"/>
    <s v="LSBI028"/>
    <s v="LSBI027"/>
    <x v="1"/>
    <s v="St. Bee's Island"/>
    <d v="2023-02-25T00:00:00"/>
    <d v="2023-07-13T00:00:00"/>
    <n v="138"/>
    <s v="white"/>
    <x v="1"/>
    <n v="135"/>
    <n v="2"/>
    <n v="1"/>
    <n v="5"/>
    <n v="33.94"/>
    <n v="1.5099"/>
    <d v="1899-12-30T11:50:15"/>
    <d v="1899-12-30T17:42:00"/>
    <m/>
    <m/>
    <n v="36.905000000000001"/>
    <m/>
    <s v="5:51:45"/>
    <n v="6.8000000000000005E-2"/>
    <n v="36.837000000000003"/>
    <m/>
    <n v="36.837000000000003"/>
  </r>
  <r>
    <n v="99"/>
    <s v="CARL335"/>
    <s v="CARL359"/>
    <x v="0"/>
    <s v="Arlington Reef"/>
    <d v="2023-02-23T00:00:00"/>
    <d v="2023-07-06T00:00:00"/>
    <n v="133"/>
    <s v="white"/>
    <x v="0"/>
    <n v="342"/>
    <n v="1"/>
    <n v="2"/>
    <n v="2"/>
    <n v="36.1"/>
    <n v="2.0851999999999999"/>
    <d v="1899-12-30T11:43:22"/>
    <d v="1899-12-30T17:31:00"/>
    <m/>
    <n v="36.799999999999997"/>
    <n v="36.96"/>
    <n v="0.16000000000000369"/>
    <s v="5:47:38"/>
    <n v="7.6700000000000004E-2"/>
    <n v="36.883299999999998"/>
    <n v="8.3300000000001262E-2"/>
    <n v="36.841650000000001"/>
  </r>
  <r>
    <n v="99"/>
    <s v="CARL335"/>
    <s v="CARL359"/>
    <x v="0"/>
    <s v="Arlington Reef"/>
    <d v="2023-02-23T00:00:00"/>
    <d v="2023-07-06T00:00:00"/>
    <n v="133"/>
    <s v="red"/>
    <x v="1"/>
    <n v="234"/>
    <n v="1"/>
    <n v="2"/>
    <n v="5"/>
    <n v="28.78"/>
    <n v="0.91820000000000002"/>
    <d v="1899-12-30T11:43:22"/>
    <d v="1899-12-30T18:58:00"/>
    <m/>
    <n v="36.799999999999997"/>
    <n v="36.905000000000001"/>
    <n v="0.10500000000000398"/>
    <s v="7:14:38"/>
    <n v="0.01"/>
    <n v="36.895000000000003"/>
    <n v="9.5000000000005969E-2"/>
    <n v="36.847499999999997"/>
  </r>
  <r>
    <n v="99"/>
    <s v="CARL335"/>
    <s v="CARL359"/>
    <x v="0"/>
    <s v="Arlington Reef"/>
    <d v="2023-02-23T00:00:00"/>
    <d v="2023-07-06T00:00:00"/>
    <n v="133"/>
    <s v="red"/>
    <x v="1"/>
    <n v="234"/>
    <n v="1"/>
    <n v="2"/>
    <n v="4"/>
    <n v="34.159999999999997"/>
    <n v="1.5254000000000001"/>
    <d v="1899-12-30T11:43:22"/>
    <d v="1899-12-30T18:58:00"/>
    <m/>
    <n v="36.799999999999997"/>
    <n v="36.905000000000001"/>
    <n v="0.10500000000000398"/>
    <s v="7:14:38"/>
    <n v="0.01"/>
    <n v="36.895000000000003"/>
    <n v="9.5000000000005969E-2"/>
    <n v="36.847499999999997"/>
  </r>
  <r>
    <n v="90"/>
    <s v="CSAT265"/>
    <s v="CSAT264"/>
    <x v="0"/>
    <s v="Satellite Reef"/>
    <d v="2023-02-20T00:00:00"/>
    <d v="2023-07-12T00:00:00"/>
    <n v="142"/>
    <s v="red"/>
    <x v="0"/>
    <n v="243"/>
    <n v="1"/>
    <n v="5"/>
    <n v="5"/>
    <n v="32.700000000000003"/>
    <n v="1.4789000000000001"/>
    <d v="1899-12-30T12:13:52"/>
    <d v="1899-12-30T18:12:00"/>
    <m/>
    <m/>
    <n v="36.96"/>
    <m/>
    <s v="5:58:08"/>
    <n v="0.111"/>
    <n v="36.849000000000004"/>
    <m/>
    <n v="36.849000000000004"/>
  </r>
  <r>
    <n v="90"/>
    <s v="CSAT265"/>
    <s v="CSAT264"/>
    <x v="0"/>
    <s v="Satellite Reef"/>
    <d v="2023-02-20T00:00:00"/>
    <d v="2023-07-12T00:00:00"/>
    <n v="142"/>
    <s v="red"/>
    <x v="0"/>
    <n v="243"/>
    <n v="1"/>
    <n v="5"/>
    <n v="1"/>
    <n v="33.549999999999997"/>
    <n v="1.4830000000000001"/>
    <d v="1899-12-30T12:13:52"/>
    <d v="1899-12-30T18:12:00"/>
    <m/>
    <m/>
    <n v="36.96"/>
    <m/>
    <s v="5:58:08"/>
    <n v="0.111"/>
    <n v="36.849000000000004"/>
    <m/>
    <n v="36.849000000000004"/>
  </r>
  <r>
    <n v="90"/>
    <s v="CSAT265"/>
    <s v="CSAT264"/>
    <x v="0"/>
    <s v="Satellite Reef"/>
    <d v="2023-02-20T00:00:00"/>
    <d v="2023-07-06T00:00:00"/>
    <n v="136"/>
    <s v="na"/>
    <x v="1"/>
    <n v="252"/>
    <n v="1"/>
    <s v="na"/>
    <s v="na"/>
    <n v="30.55"/>
    <n v="0.96020000000000005"/>
    <d v="1899-12-30T11:43:22"/>
    <d v="1899-12-30T17:31:00"/>
    <s v="na"/>
    <s v="na"/>
    <s v="na"/>
    <s v="na"/>
    <s v="5:47:38"/>
    <s v="na"/>
    <s v="na"/>
    <s v="na"/>
    <n v="36.85"/>
  </r>
  <r>
    <n v="99"/>
    <s v="CARL335"/>
    <s v="CARL359"/>
    <x v="0"/>
    <s v="Arlington Reef"/>
    <d v="2023-02-23T00:00:00"/>
    <d v="2023-07-10T00:00:00"/>
    <n v="137"/>
    <s v="na"/>
    <x v="1"/>
    <n v="234"/>
    <n v="1"/>
    <s v="na"/>
    <s v="na"/>
    <n v="40.26"/>
    <n v="2.2130999999999998"/>
    <d v="1899-12-30T13:15:00"/>
    <d v="1899-12-30T19:24:00"/>
    <s v="na"/>
    <s v="na"/>
    <s v="na"/>
    <s v="na"/>
    <s v="6:09:00"/>
    <s v="na"/>
    <s v="na"/>
    <s v="na"/>
    <n v="36.85"/>
  </r>
  <r>
    <n v="110"/>
    <s v="CPRE453"/>
    <s v="CPRE459"/>
    <x v="0"/>
    <s v="Pretty Patches"/>
    <d v="2023-03-07T00:00:00"/>
    <d v="2023-07-10T00:00:00"/>
    <n v="125"/>
    <s v="na"/>
    <x v="0"/>
    <n v="347"/>
    <n v="2"/>
    <s v="na"/>
    <s v="na"/>
    <n v="35.14"/>
    <n v="1.7269000000000001"/>
    <d v="1899-12-30T13:15:00"/>
    <d v="1899-12-30T19:26:00"/>
    <s v="na"/>
    <s v="na"/>
    <s v="na"/>
    <s v="na"/>
    <s v="6:11:00"/>
    <s v="na"/>
    <s v="na"/>
    <s v="na"/>
    <n v="36.85"/>
  </r>
  <r>
    <n v="74"/>
    <s v="LSBI023"/>
    <s v="LCHA118"/>
    <x v="1"/>
    <s v="Chauvel Reef/St. Bee's Island"/>
    <d v="2023-02-01T00:00:00"/>
    <d v="2023-06-09T00:00:00"/>
    <n v="128"/>
    <s v="white"/>
    <x v="1"/>
    <n v="153"/>
    <n v="1"/>
    <n v="4"/>
    <n v="4"/>
    <n v="33.11"/>
    <n v="1.4550000000000001"/>
    <d v="1899-12-30T11:33:47"/>
    <d v="1899-12-30T17:27:00"/>
    <n v="36.866500000000002"/>
    <n v="36.799999999999997"/>
    <n v="36.933"/>
    <n v="0.13300000000000267"/>
    <s v="5:53:13"/>
    <n v="2.9250000000000002E-2"/>
    <n v="36.903750000000002"/>
    <n v="0.10375000000000512"/>
    <n v="36.851875"/>
  </r>
  <r>
    <n v="74"/>
    <s v="LSBI023"/>
    <s v="LCHA118"/>
    <x v="1"/>
    <s v="Chauvel Reef/St. Bee's Island"/>
    <d v="2023-02-01T00:00:00"/>
    <d v="2023-06-09T00:00:00"/>
    <n v="128"/>
    <s v="white"/>
    <x v="1"/>
    <n v="153"/>
    <n v="1"/>
    <n v="4"/>
    <n v="5"/>
    <n v="33.1"/>
    <n v="1.5116000000000001"/>
    <d v="1899-12-30T11:33:47"/>
    <d v="1899-12-30T17:27:00"/>
    <n v="36.866500000000002"/>
    <n v="36.799999999999997"/>
    <n v="36.933"/>
    <n v="0.13300000000000267"/>
    <s v="5:53:13"/>
    <n v="2.9250000000000002E-2"/>
    <n v="36.903750000000002"/>
    <n v="0.10375000000000512"/>
    <n v="36.851875"/>
  </r>
  <r>
    <n v="90"/>
    <s v="CSAT265"/>
    <s v="CSAT264"/>
    <x v="0"/>
    <s v="Satellite Reef"/>
    <d v="2023-02-20T00:00:00"/>
    <d v="2023-07-06T00:00:00"/>
    <n v="136"/>
    <s v="white"/>
    <x v="0"/>
    <n v="338"/>
    <n v="2"/>
    <n v="1"/>
    <n v="3"/>
    <n v="36.42"/>
    <n v="1.9799"/>
    <d v="1899-12-30T11:43:22"/>
    <d v="1899-12-30T17:36:00"/>
    <m/>
    <n v="36.799999999999997"/>
    <n v="37.015000000000001"/>
    <n v="0.21500000000000341"/>
    <s v="5:52:38"/>
    <n v="0.10299999999999999"/>
    <n v="36.911999999999999"/>
    <n v="0.11200000000000188"/>
    <n v="36.855999999999995"/>
  </r>
  <r>
    <n v="90"/>
    <s v="CSAT265"/>
    <s v="CSAT264"/>
    <x v="0"/>
    <s v="Satellite Reef"/>
    <d v="2023-02-20T00:00:00"/>
    <d v="2023-07-06T00:00:00"/>
    <n v="136"/>
    <s v="white"/>
    <x v="0"/>
    <n v="338"/>
    <n v="2"/>
    <n v="1"/>
    <n v="5"/>
    <n v="41.26"/>
    <n v="3.1059999999999999"/>
    <d v="1899-12-30T11:43:22"/>
    <d v="1899-12-30T17:33:00"/>
    <m/>
    <m/>
    <n v="36.96"/>
    <m/>
    <s v="5:49:38"/>
    <n v="0.10299999999999999"/>
    <n v="36.856999999999999"/>
    <m/>
    <n v="36.856999999999999"/>
  </r>
  <r>
    <n v="102"/>
    <s v="LSBI034"/>
    <s v="LCHA120"/>
    <x v="1"/>
    <s v="Chauvel Reef/St. Bee's Island"/>
    <d v="2023-02-27T00:00:00"/>
    <d v="2023-07-05T00:00:00"/>
    <n v="128"/>
    <s v="na"/>
    <x v="1"/>
    <n v="353"/>
    <n v="2"/>
    <s v="na"/>
    <s v="na"/>
    <n v="29.63"/>
    <n v="1.0071000000000001"/>
    <d v="1899-12-30T13:00:00"/>
    <d v="1899-12-30T18:58:00"/>
    <s v="na"/>
    <s v="na"/>
    <s v="na"/>
    <s v="na"/>
    <s v="5:58:00"/>
    <s v="na"/>
    <s v="na"/>
    <s v="na"/>
    <n v="36.86"/>
  </r>
  <r>
    <n v="107"/>
    <s v="CPRE521"/>
    <s v="CPRE524"/>
    <x v="0"/>
    <s v="Pretty Patches"/>
    <d v="2023-03-05T00:00:00"/>
    <d v="2023-07-06T00:00:00"/>
    <n v="123"/>
    <s v="blue"/>
    <x v="2"/>
    <n v="123"/>
    <n v="2"/>
    <n v="3"/>
    <n v="3"/>
    <n v="38.71"/>
    <n v="2.4996999999999998"/>
    <d v="1899-12-30T11:43:22"/>
    <d v="1899-12-30T17:33:00"/>
    <m/>
    <m/>
    <n v="36.987000000000002"/>
    <m/>
    <s v="5:49:38"/>
    <n v="0.124"/>
    <n v="36.863"/>
    <m/>
    <n v="36.863"/>
  </r>
  <r>
    <n v="69"/>
    <s v="LCKM164"/>
    <s v="LCKM156"/>
    <x v="1"/>
    <s v="Cockermouth Island"/>
    <d v="2023-01-30T00:00:00"/>
    <d v="2023-06-06T00:00:00"/>
    <n v="127"/>
    <s v="red"/>
    <x v="2"/>
    <n v="224"/>
    <n v="2"/>
    <n v="2"/>
    <n v="4"/>
    <n v="32.58"/>
    <n v="1.2994000000000001"/>
    <d v="1899-12-30T10:33:39"/>
    <d v="1899-12-30T17:03:00"/>
    <n v="36.905000000000001"/>
    <n v="36.85"/>
    <n v="36.96"/>
    <n v="0.10999999999999943"/>
    <s v="6:29:21"/>
    <n v="7.6850000000000002E-2"/>
    <n v="36.883150000000001"/>
    <n v="3.3149999999999125E-2"/>
    <n v="36.866574999999997"/>
  </r>
  <r>
    <n v="102"/>
    <s v="LSBI034"/>
    <s v="LCHA120"/>
    <x v="1"/>
    <s v="Chauvel Reef/St. Bee's Island"/>
    <d v="2023-02-27T00:00:00"/>
    <d v="2023-07-12T00:00:00"/>
    <n v="135"/>
    <s v="white"/>
    <x v="1"/>
    <n v="130"/>
    <n v="1"/>
    <n v="4"/>
    <n v="5"/>
    <n v="26.13"/>
    <n v="0.67810000000000004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white"/>
    <x v="1"/>
    <n v="130"/>
    <n v="1"/>
    <n v="4"/>
    <n v="3"/>
    <n v="27.69"/>
    <n v="0.8145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white"/>
    <x v="1"/>
    <n v="130"/>
    <n v="1"/>
    <n v="4"/>
    <n v="1"/>
    <n v="27.18"/>
    <n v="0.84060000000000001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white"/>
    <x v="1"/>
    <n v="130"/>
    <n v="1"/>
    <n v="4"/>
    <n v="4"/>
    <n v="32.17"/>
    <n v="1.2855000000000001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white"/>
    <x v="1"/>
    <n v="130"/>
    <n v="1"/>
    <n v="4"/>
    <n v="2"/>
    <n v="32.380000000000003"/>
    <n v="1.3746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blue"/>
    <x v="2"/>
    <n v="260"/>
    <n v="2"/>
    <n v="4"/>
    <n v="4"/>
    <n v="27.88"/>
    <n v="0.9042"/>
    <d v="1899-12-30T12:13:52"/>
    <d v="1899-12-30T18:10:00"/>
    <m/>
    <m/>
    <n v="36.933"/>
    <m/>
    <s v="5:56:08"/>
    <n v="0.06"/>
    <n v="36.872999999999998"/>
    <m/>
    <n v="36.872999999999998"/>
  </r>
  <r>
    <n v="102"/>
    <s v="LSBI034"/>
    <s v="LCHA120"/>
    <x v="1"/>
    <s v="Chauvel Reef/St. Bee's Island"/>
    <d v="2023-02-27T00:00:00"/>
    <d v="2023-07-12T00:00:00"/>
    <n v="135"/>
    <s v="blue"/>
    <x v="2"/>
    <n v="260"/>
    <n v="2"/>
    <n v="4"/>
    <n v="3"/>
    <n v="28.7"/>
    <n v="0.97829999999999995"/>
    <d v="1899-12-30T12:13:52"/>
    <d v="1899-12-30T18:10:00"/>
    <m/>
    <m/>
    <n v="36.933"/>
    <m/>
    <s v="5:56:08"/>
    <n v="0.06"/>
    <n v="36.872999999999998"/>
    <m/>
    <n v="36.872999999999998"/>
  </r>
  <r>
    <n v="110"/>
    <s v="CPRE453"/>
    <s v="CPRE459"/>
    <x v="0"/>
    <s v="Pretty Patches"/>
    <d v="2023-03-07T00:00:00"/>
    <d v="2023-07-13T00:00:00"/>
    <n v="128"/>
    <s v="blue"/>
    <x v="0"/>
    <n v="347"/>
    <n v="2"/>
    <n v="2"/>
    <n v="5"/>
    <n v="32.26"/>
    <n v="1.3647"/>
    <d v="1899-12-30T11:50:15"/>
    <d v="1899-12-30T17:37:00"/>
    <m/>
    <n v="36.9"/>
    <n v="36.850999999999999"/>
    <n v="-4.8999999999999488E-2"/>
    <s v="5:46:45"/>
    <n v="0"/>
    <n v="36.850999999999999"/>
    <n v="-4.8999999999999488E-2"/>
    <n v="36.875500000000002"/>
  </r>
  <r>
    <n v="110"/>
    <s v="CPRE453"/>
    <s v="CPRE459"/>
    <x v="0"/>
    <s v="Pretty Patches"/>
    <d v="2023-03-07T00:00:00"/>
    <d v="2023-07-13T00:00:00"/>
    <n v="128"/>
    <s v="blue"/>
    <x v="0"/>
    <n v="347"/>
    <n v="2"/>
    <n v="2"/>
    <n v="4"/>
    <n v="34.130000000000003"/>
    <n v="1.6246"/>
    <d v="1899-12-30T11:50:15"/>
    <d v="1899-12-30T17:37:00"/>
    <m/>
    <n v="36.9"/>
    <n v="36.850999999999999"/>
    <n v="-4.8999999999999488E-2"/>
    <s v="5:46:45"/>
    <n v="0"/>
    <n v="36.850999999999999"/>
    <n v="-4.8999999999999488E-2"/>
    <n v="36.875500000000002"/>
  </r>
  <r>
    <n v="101"/>
    <s v="LSBI028"/>
    <s v="LSBI027"/>
    <x v="1"/>
    <s v="St. Bee's Island"/>
    <d v="2023-02-25T00:00:00"/>
    <d v="2023-07-12T00:00:00"/>
    <n v="137"/>
    <s v="white"/>
    <x v="1"/>
    <n v="248"/>
    <n v="1"/>
    <n v="3"/>
    <n v="2"/>
    <n v="28.73"/>
    <n v="0.90720000000000001"/>
    <d v="1899-12-30T12:13:52"/>
    <d v="1899-12-30T18:10:00"/>
    <m/>
    <m/>
    <n v="36.96"/>
    <m/>
    <s v="5:56:08"/>
    <n v="8.0199999999999994E-2"/>
    <n v="36.879800000000003"/>
    <m/>
    <n v="36.879800000000003"/>
  </r>
  <r>
    <n v="101"/>
    <s v="LSBI028"/>
    <s v="LSBI027"/>
    <x v="1"/>
    <s v="St. Bee's Island"/>
    <d v="2023-02-25T00:00:00"/>
    <d v="2023-07-12T00:00:00"/>
    <n v="137"/>
    <s v="white"/>
    <x v="1"/>
    <n v="248"/>
    <n v="1"/>
    <n v="3"/>
    <n v="5"/>
    <n v="29.85"/>
    <n v="1.0149999999999999"/>
    <d v="1899-12-30T12:13:52"/>
    <d v="1899-12-30T18:10:00"/>
    <m/>
    <m/>
    <n v="36.96"/>
    <m/>
    <s v="5:56:08"/>
    <n v="8.0199999999999994E-2"/>
    <n v="36.879800000000003"/>
    <m/>
    <n v="36.879800000000003"/>
  </r>
  <r>
    <n v="108"/>
    <s v="CARL369"/>
    <s v="CARL349"/>
    <x v="0"/>
    <s v="Arlington Reef"/>
    <d v="2023-03-05T00:00:00"/>
    <d v="2023-07-06T00:00:00"/>
    <n v="123"/>
    <s v="na"/>
    <x v="0"/>
    <n v="236"/>
    <n v="1"/>
    <s v="na"/>
    <s v="na"/>
    <n v="33.090000000000003"/>
    <n v="1.329"/>
    <d v="1899-12-30T11:43:22"/>
    <d v="1899-12-30T17:31:00"/>
    <s v="na"/>
    <s v="na"/>
    <s v="na"/>
    <s v="na"/>
    <s v="5:47:38"/>
    <s v="na"/>
    <s v="na"/>
    <s v="na"/>
    <n v="36.880000000000003"/>
  </r>
  <r>
    <n v="108"/>
    <s v="CARL369"/>
    <s v="CARL349"/>
    <x v="0"/>
    <s v="Arlington Reef"/>
    <d v="2023-03-05T00:00:00"/>
    <d v="2023-07-13T00:00:00"/>
    <n v="130"/>
    <s v="blue"/>
    <x v="0"/>
    <n v="236"/>
    <n v="1"/>
    <n v="3"/>
    <n v="4"/>
    <n v="25.06"/>
    <n v="0.6129"/>
    <d v="1899-12-30T11:50:15"/>
    <d v="1899-12-30T17:41:00"/>
    <m/>
    <m/>
    <n v="36.905000000000001"/>
    <m/>
    <s v="5:50:45"/>
    <n v="2.3E-2"/>
    <n v="36.881999999999998"/>
    <m/>
    <n v="36.881999999999998"/>
  </r>
  <r>
    <n v="107"/>
    <s v="CPRE521"/>
    <s v="CPRE524"/>
    <x v="0"/>
    <s v="Pretty Patches"/>
    <d v="2023-03-05T00:00:00"/>
    <d v="2023-07-06T00:00:00"/>
    <n v="123"/>
    <s v="white"/>
    <x v="0"/>
    <n v="141"/>
    <n v="2"/>
    <n v="3"/>
    <n v="2"/>
    <n v="35.630000000000003"/>
    <n v="1.9077999999999999"/>
    <d v="1899-12-30T11:43:22"/>
    <d v="1899-12-30T17:36:00"/>
    <m/>
    <n v="36.85"/>
    <n v="37.042000000000002"/>
    <m/>
    <s v="5:52:38"/>
    <n v="0.124"/>
    <n v="36.917999999999999"/>
    <n v="6.799999999999784E-2"/>
    <n v="36.884"/>
  </r>
  <r>
    <n v="99"/>
    <s v="CARL335"/>
    <s v="CARL359"/>
    <x v="0"/>
    <s v="Arlington Reef"/>
    <d v="2023-02-23T00:00:00"/>
    <d v="2023-07-13T00:00:00"/>
    <n v="140"/>
    <s v="red"/>
    <x v="2"/>
    <n v="258"/>
    <n v="1"/>
    <n v="4"/>
    <n v="5"/>
    <n v="26.76"/>
    <n v="0.75080000000000002"/>
    <d v="1899-12-30T11:50:15"/>
    <d v="1899-12-30T17:41:00"/>
    <m/>
    <n v="37"/>
    <n v="36.795999999999999"/>
    <n v="-0.20400000000000063"/>
    <s v="5:50:45"/>
    <n v="1.7999999999999999E-2"/>
    <n v="36.777999999999999"/>
    <n v="-0.22200000000000131"/>
    <n v="36.888999999999996"/>
  </r>
  <r>
    <n v="110"/>
    <s v="CPRE453"/>
    <s v="CPRE459"/>
    <x v="0"/>
    <s v="Pretty Patches"/>
    <d v="2023-03-07T00:00:00"/>
    <d v="2023-07-13T00:00:00"/>
    <n v="128"/>
    <s v="white"/>
    <x v="1"/>
    <n v="329"/>
    <n v="1"/>
    <n v="2"/>
    <n v="1"/>
    <n v="31.98"/>
    <n v="1.2992999999999999"/>
    <d v="1899-12-30T11:50:15"/>
    <d v="1899-12-30T17:40:00"/>
    <m/>
    <n v="36.9"/>
    <n v="36.878"/>
    <n v="-2.1999999999998465E-2"/>
    <s v="5:49:45"/>
    <n v="0"/>
    <n v="36.878"/>
    <n v="-2.1999999999998465E-2"/>
    <n v="36.888999999999996"/>
  </r>
  <r>
    <n v="101"/>
    <s v="LSBI028"/>
    <s v="LSBI027"/>
    <x v="1"/>
    <s v="St. Bee's Island"/>
    <d v="2023-02-25T00:00:00"/>
    <d v="2023-07-10T00:00:00"/>
    <n v="135"/>
    <s v="na"/>
    <x v="1"/>
    <n v="248"/>
    <n v="1"/>
    <s v="na"/>
    <s v="na"/>
    <n v="36.840000000000003"/>
    <n v="1.9722"/>
    <d v="1899-12-30T13:15:00"/>
    <d v="1899-12-30T19:31:00"/>
    <s v="na"/>
    <s v="na"/>
    <s v="na"/>
    <s v="na"/>
    <s v="6:16:00"/>
    <s v="na"/>
    <s v="na"/>
    <s v="na"/>
    <n v="36.89"/>
  </r>
  <r>
    <n v="107"/>
    <s v="CPRE521"/>
    <s v="CPRE524"/>
    <x v="0"/>
    <s v="Pretty Patches"/>
    <d v="2023-03-05T00:00:00"/>
    <d v="2023-07-10T00:00:00"/>
    <n v="127"/>
    <s v="na"/>
    <x v="1"/>
    <n v="149"/>
    <n v="1"/>
    <s v="na"/>
    <s v="na"/>
    <n v="34.14"/>
    <n v="1.4995000000000001"/>
    <d v="1899-12-30T13:15:00"/>
    <d v="1899-12-30T19:31:00"/>
    <s v="na"/>
    <s v="na"/>
    <s v="na"/>
    <s v="na"/>
    <s v="6:16:00"/>
    <s v="na"/>
    <s v="na"/>
    <s v="na"/>
    <n v="36.89"/>
  </r>
  <r>
    <n v="107"/>
    <s v="CPRE521"/>
    <s v="CPRE524"/>
    <x v="0"/>
    <s v="Pretty Patches"/>
    <d v="2023-03-05T00:00:00"/>
    <d v="2023-07-06T00:00:00"/>
    <n v="123"/>
    <s v="red"/>
    <x v="1"/>
    <n v="149"/>
    <n v="1"/>
    <n v="3"/>
    <n v="3"/>
    <n v="25.72"/>
    <n v="0.67649999999999999"/>
    <d v="1899-12-30T11:43:22"/>
    <d v="1899-12-30T17:34:00"/>
    <m/>
    <m/>
    <n v="37.015000000000001"/>
    <m/>
    <s v="5:50:38"/>
    <n v="0.124"/>
    <n v="36.890999999999998"/>
    <m/>
    <n v="36.890999999999998"/>
  </r>
  <r>
    <n v="107"/>
    <s v="CPRE521"/>
    <s v="CPRE524"/>
    <x v="0"/>
    <s v="Pretty Patches"/>
    <d v="2023-03-05T00:00:00"/>
    <d v="2023-07-06T00:00:00"/>
    <n v="123"/>
    <s v="red"/>
    <x v="1"/>
    <n v="149"/>
    <n v="1"/>
    <n v="3"/>
    <n v="1"/>
    <n v="27.44"/>
    <n v="0.79400000000000004"/>
    <d v="1899-12-30T11:43:22"/>
    <d v="1899-12-30T17:34:00"/>
    <m/>
    <m/>
    <n v="37.015000000000001"/>
    <m/>
    <s v="5:50:38"/>
    <n v="0.124"/>
    <n v="36.890999999999998"/>
    <m/>
    <n v="36.890999999999998"/>
  </r>
  <r>
    <n v="96"/>
    <s v="CARL338"/>
    <s v="CARL345"/>
    <x v="0"/>
    <s v="Arlington Reef"/>
    <d v="2023-02-23T00:00:00"/>
    <d v="2023-07-12T00:00:00"/>
    <n v="139"/>
    <s v="white"/>
    <x v="1"/>
    <n v="233"/>
    <n v="2"/>
    <n v="6"/>
    <n v="1"/>
    <n v="25.22"/>
    <n v="0.68840000000000001"/>
    <d v="1899-12-30T12:13:52"/>
    <d v="1899-12-30T18:16:00"/>
    <m/>
    <m/>
    <n v="36.905000000000001"/>
    <m/>
    <s v="6:02:08"/>
    <n v="0.01"/>
    <n v="36.895000000000003"/>
    <m/>
    <n v="36.895000000000003"/>
  </r>
  <r>
    <n v="120"/>
    <s v="CPRE550"/>
    <s v="CPRE533"/>
    <x v="0"/>
    <s v="Pretty Patches"/>
    <d v="2023-03-21T00:00:00"/>
    <d v="2023-07-12T00:00:00"/>
    <n v="113"/>
    <s v="red"/>
    <x v="0"/>
    <n v="140"/>
    <n v="1"/>
    <n v="1"/>
    <n v="5"/>
    <n v="34.58"/>
    <n v="1.6329"/>
    <d v="1899-12-30T12:13:52"/>
    <d v="1899-12-30T18:13:00"/>
    <m/>
    <m/>
    <n v="37.015000000000001"/>
    <m/>
    <s v="5:59:08"/>
    <n v="0.11700000000000001"/>
    <n v="36.898000000000003"/>
    <m/>
    <n v="36.898000000000003"/>
  </r>
  <r>
    <n v="120"/>
    <s v="CPRE550"/>
    <s v="CPRE533"/>
    <x v="0"/>
    <s v="Pretty Patches"/>
    <d v="2023-03-21T00:00:00"/>
    <d v="2023-07-12T00:00:00"/>
    <n v="113"/>
    <s v="blue"/>
    <x v="2"/>
    <n v="326"/>
    <n v="2"/>
    <n v="1"/>
    <n v="4"/>
    <n v="27.43"/>
    <n v="0.81399999999999995"/>
    <d v="1899-12-30T12:13:52"/>
    <d v="1899-12-30T18:13:00"/>
    <m/>
    <m/>
    <n v="37.015000000000001"/>
    <m/>
    <s v="5:59:08"/>
    <n v="0.11700000000000001"/>
    <n v="36.898000000000003"/>
    <m/>
    <n v="36.898000000000003"/>
  </r>
  <r>
    <n v="120"/>
    <s v="CPRE550"/>
    <s v="CPRE533"/>
    <x v="0"/>
    <s v="Pretty Patches"/>
    <d v="2023-03-21T00:00:00"/>
    <d v="2023-07-12T00:00:00"/>
    <n v="113"/>
    <s v="blue"/>
    <x v="2"/>
    <n v="326"/>
    <n v="2"/>
    <n v="1"/>
    <n v="1"/>
    <n v="30.8"/>
    <n v="1.1589"/>
    <d v="1899-12-30T12:13:52"/>
    <d v="1899-12-30T18:13:00"/>
    <m/>
    <m/>
    <n v="37.015000000000001"/>
    <m/>
    <s v="5:59:08"/>
    <n v="0.11700000000000001"/>
    <n v="36.898000000000003"/>
    <m/>
    <n v="36.898000000000003"/>
  </r>
  <r>
    <n v="60"/>
    <s v="LCKM159"/>
    <s v="LCKM155"/>
    <x v="1"/>
    <s v="Cockermouth Island"/>
    <d v="2023-01-17T00:00:00"/>
    <d v="2023-06-01T00:00:00"/>
    <n v="135"/>
    <s v="red"/>
    <x v="0"/>
    <n v="337"/>
    <n v="2"/>
    <n v="6"/>
    <n v="4"/>
    <n v="27.77"/>
    <n v="0.71199999999999997"/>
    <d v="1899-12-30T12:17:20"/>
    <d v="1899-12-30T18:15:00"/>
    <n v="36.9"/>
    <n v="36.9"/>
    <s v="na"/>
    <m/>
    <s v="5:57:40"/>
    <s v="na"/>
    <s v="na"/>
    <s v="na"/>
    <n v="36.9"/>
  </r>
  <r>
    <n v="74"/>
    <s v="LSBI023"/>
    <s v="LCHA118"/>
    <x v="1"/>
    <s v="Chauvel Reef/St. Bee's Island"/>
    <d v="2023-02-01T00:00:00"/>
    <d v="2023-06-09T00:00:00"/>
    <n v="128"/>
    <s v="blue"/>
    <x v="0"/>
    <n v="144"/>
    <n v="1"/>
    <n v="4"/>
    <n v="1"/>
    <n v="31.65"/>
    <n v="1.2383"/>
    <d v="1899-12-30T11:33:47"/>
    <d v="1899-12-30T17:30:00"/>
    <n v="36.9"/>
    <n v="36.9"/>
    <s v="na"/>
    <m/>
    <s v="5:56:13"/>
    <n v="2.9250000000000002E-2"/>
    <m/>
    <m/>
    <n v="36.9"/>
  </r>
  <r>
    <n v="75"/>
    <s v="LSBI034"/>
    <s v="LCHA120"/>
    <x v="1"/>
    <s v="Chauvel Reef/St. Bee's Island"/>
    <d v="2023-02-02T00:00:00"/>
    <d v="2023-06-01T00:00:00"/>
    <n v="119"/>
    <s v="red"/>
    <x v="0"/>
    <n v="348"/>
    <n v="1"/>
    <n v="2"/>
    <n v="2"/>
    <n v="25.53"/>
    <n v="0.49"/>
    <d v="1899-12-30T12:17:20"/>
    <d v="1899-12-30T18:24:00"/>
    <n v="36.9"/>
    <n v="36.9"/>
    <s v="na"/>
    <m/>
    <s v="6:06:40"/>
    <s v="na"/>
    <s v="na"/>
    <s v="na"/>
    <n v="36.9"/>
  </r>
  <r>
    <n v="75"/>
    <s v="LSBI034"/>
    <s v="LCHA120"/>
    <x v="1"/>
    <s v="Chauvel Reef/St. Bee's Island"/>
    <d v="2023-02-02T00:00:00"/>
    <d v="2023-06-01T00:00:00"/>
    <n v="119"/>
    <s v="red"/>
    <x v="0"/>
    <n v="348"/>
    <n v="1"/>
    <n v="2"/>
    <n v="1"/>
    <n v="28.92"/>
    <n v="0.78680000000000005"/>
    <d v="1899-12-30T12:17:20"/>
    <d v="1899-12-30T18:27:00"/>
    <n v="36.9"/>
    <n v="36.9"/>
    <s v="na"/>
    <m/>
    <s v="6:09:40"/>
    <s v="na"/>
    <s v="na"/>
    <s v="na"/>
    <n v="36.9"/>
  </r>
  <r>
    <n v="75"/>
    <s v="LSBI034"/>
    <s v="LCHA120"/>
    <x v="1"/>
    <s v="Chauvel Reef/St. Bee's Island"/>
    <d v="2023-02-02T00:00:00"/>
    <d v="2023-06-01T00:00:00"/>
    <n v="119"/>
    <s v="red"/>
    <x v="0"/>
    <n v="348"/>
    <n v="1"/>
    <n v="2"/>
    <n v="5"/>
    <n v="32.24"/>
    <n v="1.0857000000000001"/>
    <d v="1899-12-30T12:17:20"/>
    <d v="1899-12-30T18:27:00"/>
    <n v="36.9"/>
    <n v="36.9"/>
    <s v="na"/>
    <m/>
    <s v="6:09:40"/>
    <s v="na"/>
    <s v="na"/>
    <s v="na"/>
    <n v="36.9"/>
  </r>
  <r>
    <n v="75"/>
    <s v="LSBI034"/>
    <s v="LCHA120"/>
    <x v="1"/>
    <s v="Chauvel Reef/St. Bee's Island"/>
    <d v="2023-02-02T00:00:00"/>
    <d v="2023-06-01T00:00:00"/>
    <n v="119"/>
    <s v="white"/>
    <x v="1"/>
    <n v="351"/>
    <n v="1"/>
    <n v="2"/>
    <n v="1"/>
    <n v="33.72"/>
    <n v="1.3327"/>
    <d v="1899-12-30T12:17:20"/>
    <d v="1899-12-30T18:27:00"/>
    <n v="36.9"/>
    <n v="36.9"/>
    <s v="na"/>
    <m/>
    <s v="6:09:40"/>
    <s v="na"/>
    <s v="na"/>
    <s v="na"/>
    <n v="36.9"/>
  </r>
  <r>
    <n v="75"/>
    <s v="LSBI034"/>
    <s v="LCHA120"/>
    <x v="1"/>
    <s v="Chauvel Reef/St. Bee's Island"/>
    <d v="2023-02-02T00:00:00"/>
    <d v="2023-06-01T00:00:00"/>
    <n v="119"/>
    <s v="white"/>
    <x v="1"/>
    <n v="351"/>
    <n v="1"/>
    <n v="2"/>
    <n v="5"/>
    <n v="34.909999999999997"/>
    <n v="1.5759000000000001"/>
    <d v="1899-12-30T12:17:20"/>
    <d v="1899-12-30T18:27:00"/>
    <n v="36.9"/>
    <n v="36.9"/>
    <s v="na"/>
    <m/>
    <s v="6:09:40"/>
    <s v="na"/>
    <s v="na"/>
    <s v="na"/>
    <n v="36.9"/>
  </r>
  <r>
    <n v="87"/>
    <s v="CRUS426"/>
    <s v="CRUS360"/>
    <x v="0"/>
    <s v="Russel Island"/>
    <d v="2023-02-16T00:00:00"/>
    <d v="2023-06-16T00:00:00"/>
    <n v="120"/>
    <s v="na"/>
    <x v="0"/>
    <n v="340"/>
    <n v="2"/>
    <s v="na"/>
    <s v="na"/>
    <n v="35.11"/>
    <n v="1.5542"/>
    <d v="1899-12-30T12:00:00"/>
    <d v="1899-12-30T17:59:00"/>
    <s v="na"/>
    <s v="na"/>
    <s v="na"/>
    <s v="na"/>
    <s v="5:59:00"/>
    <s v="na"/>
    <s v="na"/>
    <s v="na"/>
    <n v="36.9"/>
  </r>
  <r>
    <n v="99"/>
    <s v="CARL335"/>
    <s v="CARL359"/>
    <x v="0"/>
    <s v="Arlington Reef"/>
    <d v="2023-02-23T00:00:00"/>
    <d v="2023-07-05T00:00:00"/>
    <n v="132"/>
    <s v="na"/>
    <x v="0"/>
    <n v="342"/>
    <n v="2"/>
    <s v="na"/>
    <s v="na"/>
    <n v="33.909999999999997"/>
    <n v="1.5155000000000001"/>
    <d v="1899-12-30T13:00:00"/>
    <d v="1899-12-30T19:01:00"/>
    <s v="na"/>
    <s v="na"/>
    <s v="na"/>
    <s v="na"/>
    <s v="6:01:00"/>
    <s v="na"/>
    <s v="na"/>
    <s v="na"/>
    <n v="36.9"/>
  </r>
  <r>
    <n v="102"/>
    <s v="LSBI034"/>
    <s v="LCHA120"/>
    <x v="1"/>
    <s v="Chauvel Reef/St. Bee's Island"/>
    <d v="2023-02-27T00:00:00"/>
    <d v="2023-07-13T00:00:00"/>
    <n v="136"/>
    <s v="na"/>
    <x v="2"/>
    <n v="223"/>
    <n v="1"/>
    <s v="na"/>
    <s v="na"/>
    <n v="31.9"/>
    <n v="1.2224999999999999"/>
    <d v="1899-12-30T11:45:00"/>
    <d v="1899-12-30T17:45:00"/>
    <s v="na"/>
    <s v="na"/>
    <s v="na"/>
    <s v="na"/>
    <s v="6:00:00"/>
    <s v="na"/>
    <s v="na"/>
    <s v="na"/>
    <n v="36.9"/>
  </r>
  <r>
    <n v="60"/>
    <s v="LCKM159"/>
    <s v="LCKM155"/>
    <x v="1"/>
    <s v="Cockermouth Island"/>
    <d v="2023-01-17T00:00:00"/>
    <d v="2023-06-09T00:00:00"/>
    <n v="143"/>
    <s v="white"/>
    <x v="1"/>
    <n v="152"/>
    <n v="2"/>
    <n v="1"/>
    <n v="2"/>
    <n v="33.520000000000003"/>
    <n v="1.5706"/>
    <d v="1899-12-30T11:33:47"/>
    <d v="1899-12-30T17:28:00"/>
    <n v="36.916499999999999"/>
    <n v="36.9"/>
    <n v="36.933"/>
    <n v="3.3000000000001251E-2"/>
    <s v="5:54:13"/>
    <n v="2.9250000000000002E-2"/>
    <n v="36.903750000000002"/>
    <n v="3.7500000000036948E-3"/>
    <n v="36.901875000000004"/>
  </r>
  <r>
    <n v="74"/>
    <s v="LSBI023"/>
    <s v="LCHA118"/>
    <x v="1"/>
    <s v="Chauvel Reef/St. Bee's Island"/>
    <d v="2023-02-01T00:00:00"/>
    <d v="2023-06-09T00:00:00"/>
    <n v="128"/>
    <s v="blue"/>
    <x v="0"/>
    <n v="144"/>
    <n v="1"/>
    <n v="4"/>
    <n v="3"/>
    <n v="29.81"/>
    <n v="1.0435000000000001"/>
    <d v="1899-12-30T11:33:47"/>
    <d v="1899-12-30T17:29:00"/>
    <n v="36.916499999999999"/>
    <n v="36.9"/>
    <n v="36.933"/>
    <n v="3.3000000000001251E-2"/>
    <s v="5:55:13"/>
    <n v="2.9250000000000002E-2"/>
    <n v="36.903750000000002"/>
    <n v="3.7500000000036948E-3"/>
    <n v="36.901875000000004"/>
  </r>
  <r>
    <n v="102"/>
    <s v="LSBI034"/>
    <s v="LCHA120"/>
    <x v="1"/>
    <s v="Chauvel Reef/St. Bee's Island"/>
    <d v="2023-02-27T00:00:00"/>
    <d v="2023-07-06T00:00:00"/>
    <n v="129"/>
    <s v="red"/>
    <x v="1"/>
    <n v="353"/>
    <n v="2"/>
    <n v="5"/>
    <n v="4"/>
    <n v="27.32"/>
    <n v="0.84589999999999999"/>
    <d v="1899-12-30T11:43:22"/>
    <d v="1899-12-30T17:39:00"/>
    <m/>
    <n v="36.9"/>
    <n v="37.015000000000001"/>
    <n v="0.11500000000000199"/>
    <s v="5:55:38"/>
    <n v="0.111"/>
    <n v="36.904000000000003"/>
    <n v="4.0000000000048885E-3"/>
    <n v="36.902000000000001"/>
  </r>
  <r>
    <n v="110"/>
    <s v="CPRE453"/>
    <s v="CPRE459"/>
    <x v="0"/>
    <s v="Pretty Patches"/>
    <d v="2023-03-07T00:00:00"/>
    <d v="2023-07-12T00:00:00"/>
    <n v="127"/>
    <s v="red"/>
    <x v="0"/>
    <n v="335"/>
    <n v="1"/>
    <n v="2"/>
    <n v="5"/>
    <n v="32.479999999999997"/>
    <n v="1.4035"/>
    <d v="1899-12-30T12:13:52"/>
    <d v="1899-12-30T18:09:00"/>
    <m/>
    <m/>
    <n v="36.96"/>
    <m/>
    <s v="5:55:08"/>
    <n v="5.6599999999999998E-2"/>
    <n v="36.903399999999998"/>
    <m/>
    <n v="36.903399999999998"/>
  </r>
  <r>
    <n v="110"/>
    <s v="CPRE453"/>
    <s v="CPRE459"/>
    <x v="0"/>
    <s v="Pretty Patches"/>
    <d v="2023-03-07T00:00:00"/>
    <d v="2023-07-12T00:00:00"/>
    <n v="127"/>
    <s v="white"/>
    <x v="1"/>
    <n v="151"/>
    <n v="2"/>
    <n v="2"/>
    <n v="2"/>
    <n v="31.49"/>
    <n v="1.3242"/>
    <d v="1899-12-30T12:13:52"/>
    <d v="1899-12-30T18:09:00"/>
    <m/>
    <m/>
    <n v="36.96"/>
    <m/>
    <s v="5:55:08"/>
    <n v="5.6599999999999998E-2"/>
    <n v="36.903399999999998"/>
    <m/>
    <n v="36.903399999999998"/>
  </r>
  <r>
    <n v="99"/>
    <s v="CARL335"/>
    <s v="CARL359"/>
    <x v="0"/>
    <s v="Arlington Reef"/>
    <d v="2023-02-23T00:00:00"/>
    <d v="2023-07-13T00:00:00"/>
    <n v="140"/>
    <s v="blue"/>
    <x v="0"/>
    <n v="342"/>
    <n v="2"/>
    <n v="4"/>
    <n v="2"/>
    <n v="33.119999999999997"/>
    <n v="1.4294"/>
    <d v="1899-12-30T11:50:15"/>
    <d v="1899-12-30T17:44:00"/>
    <m/>
    <n v="36.950000000000003"/>
    <n v="36.878"/>
    <n v="-7.2000000000002728E-2"/>
    <s v="5:53:45"/>
    <n v="1.7999999999999999E-2"/>
    <n v="36.86"/>
    <n v="-9.0000000000003411E-2"/>
    <n v="36.905000000000001"/>
  </r>
  <r>
    <n v="101"/>
    <s v="LSBI028"/>
    <s v="LSBI027"/>
    <x v="1"/>
    <s v="St. Bee's Island"/>
    <d v="2023-02-25T00:00:00"/>
    <d v="2023-07-13T00:00:00"/>
    <n v="138"/>
    <s v="red"/>
    <x v="2"/>
    <n v="160"/>
    <n v="2"/>
    <n v="1"/>
    <n v="4"/>
    <n v="29.07"/>
    <n v="1.0535000000000001"/>
    <d v="1899-12-30T11:50:15"/>
    <d v="1899-12-30T17:40:00"/>
    <m/>
    <n v="37"/>
    <n v="36.878"/>
    <n v="-0.12199999999999989"/>
    <s v="5:49:45"/>
    <n v="6.8000000000000005E-2"/>
    <n v="36.81"/>
    <n v="-0.18999999999999773"/>
    <n v="36.905000000000001"/>
  </r>
  <r>
    <n v="101"/>
    <s v="LSBI028"/>
    <s v="LSBI027"/>
    <x v="1"/>
    <s v="St. Bee's Island"/>
    <d v="2023-02-25T00:00:00"/>
    <d v="2023-07-13T00:00:00"/>
    <n v="138"/>
    <s v="red"/>
    <x v="2"/>
    <n v="160"/>
    <n v="2"/>
    <n v="1"/>
    <n v="5"/>
    <n v="31.72"/>
    <n v="1.3613"/>
    <d v="1899-12-30T11:50:15"/>
    <d v="1899-12-30T17:40:00"/>
    <m/>
    <n v="37"/>
    <n v="36.878"/>
    <n v="-0.12199999999999989"/>
    <s v="5:49:45"/>
    <n v="6.8000000000000005E-2"/>
    <n v="36.81"/>
    <n v="-0.18999999999999773"/>
    <n v="36.905000000000001"/>
  </r>
  <r>
    <n v="110"/>
    <s v="CPRE453"/>
    <s v="CPRE459"/>
    <x v="0"/>
    <s v="Pretty Patches"/>
    <d v="2023-03-07T00:00:00"/>
    <d v="2023-07-13T00:00:00"/>
    <n v="128"/>
    <s v="blue"/>
    <x v="0"/>
    <n v="347"/>
    <n v="2"/>
    <n v="2"/>
    <n v="3"/>
    <n v="33.17"/>
    <n v="1.5130999999999999"/>
    <d v="1899-12-30T11:50:15"/>
    <d v="1899-12-30T17:42:00"/>
    <m/>
    <m/>
    <n v="36.905000000000001"/>
    <m/>
    <s v="5:51:45"/>
    <n v="0"/>
    <n v="36.905000000000001"/>
    <m/>
    <n v="36.905000000000001"/>
  </r>
  <r>
    <n v="102"/>
    <s v="LSBI034"/>
    <s v="LCHA120"/>
    <x v="1"/>
    <s v="Chauvel Reef/St. Bee's Island"/>
    <d v="2023-02-27T00:00:00"/>
    <d v="2023-07-12T00:00:00"/>
    <n v="135"/>
    <s v="blue"/>
    <x v="2"/>
    <n v="260"/>
    <n v="2"/>
    <n v="4"/>
    <n v="2"/>
    <n v="26.97"/>
    <n v="0.80740000000000001"/>
    <d v="1899-12-30T12:13:52"/>
    <d v="1899-12-30T18:12:00"/>
    <m/>
    <n v="36.9"/>
    <n v="36.973999999999997"/>
    <n v="7.3999999999998067E-2"/>
    <s v="5:58:08"/>
    <n v="0.06"/>
    <n v="36.913999999999994"/>
    <n v="1.3999999999995794E-2"/>
    <n v="36.906999999999996"/>
  </r>
  <r>
    <n v="102"/>
    <s v="LSBI034"/>
    <s v="LCHA120"/>
    <x v="1"/>
    <s v="Chauvel Reef/St. Bee's Island"/>
    <d v="2023-02-27T00:00:00"/>
    <d v="2023-07-12T00:00:00"/>
    <n v="135"/>
    <s v="blue"/>
    <x v="2"/>
    <n v="260"/>
    <n v="2"/>
    <n v="4"/>
    <n v="1"/>
    <n v="26.97"/>
    <n v="0.91669999999999996"/>
    <d v="1899-12-30T12:13:52"/>
    <d v="1899-12-30T18:12:00"/>
    <m/>
    <n v="36.9"/>
    <n v="36.973999999999997"/>
    <n v="7.3999999999998067E-2"/>
    <s v="5:58:08"/>
    <n v="0.06"/>
    <n v="36.913999999999994"/>
    <n v="1.3999999999995794E-2"/>
    <n v="36.906999999999996"/>
  </r>
  <r>
    <n v="102"/>
    <s v="LSBI034"/>
    <s v="LCHA120"/>
    <x v="1"/>
    <s v="Chauvel Reef/St. Bee's Island"/>
    <d v="2023-02-27T00:00:00"/>
    <d v="2023-07-12T00:00:00"/>
    <n v="135"/>
    <s v="blue"/>
    <x v="2"/>
    <n v="260"/>
    <n v="2"/>
    <n v="4"/>
    <n v="5"/>
    <n v="27.96"/>
    <n v="0.94230000000000003"/>
    <d v="1899-12-30T12:13:52"/>
    <d v="1899-12-30T18:12:00"/>
    <m/>
    <n v="36.9"/>
    <n v="36.973999999999997"/>
    <n v="7.3999999999998067E-2"/>
    <s v="5:58:08"/>
    <n v="0.06"/>
    <n v="36.913999999999994"/>
    <n v="1.3999999999995794E-2"/>
    <n v="36.906999999999996"/>
  </r>
  <r>
    <n v="107"/>
    <s v="CPRE521"/>
    <s v="CPRE524"/>
    <x v="0"/>
    <s v="Pretty Patches"/>
    <d v="2023-03-05T00:00:00"/>
    <d v="2023-07-06T00:00:00"/>
    <n v="123"/>
    <s v="white"/>
    <x v="0"/>
    <n v="141"/>
    <n v="2"/>
    <n v="3"/>
    <n v="4"/>
    <n v="37.94"/>
    <n v="2.2505999999999999"/>
    <d v="1899-12-30T11:43:22"/>
    <d v="1899-12-30T17:37:00"/>
    <m/>
    <n v="36.9"/>
    <n v="37.042000000000002"/>
    <n v="0.14200000000000301"/>
    <s v="5:53:38"/>
    <n v="0.124"/>
    <n v="36.917999999999999"/>
    <n v="1.8000000000000682E-2"/>
    <n v="36.908999999999999"/>
  </r>
  <r>
    <n v="107"/>
    <s v="CPRE521"/>
    <s v="CPRE524"/>
    <x v="0"/>
    <s v="Pretty Patches"/>
    <d v="2023-03-05T00:00:00"/>
    <d v="2023-07-06T00:00:00"/>
    <n v="123"/>
    <s v="red"/>
    <x v="1"/>
    <n v="149"/>
    <n v="1"/>
    <n v="3"/>
    <n v="5"/>
    <n v="30.6"/>
    <n v="1.1499999999999999"/>
    <d v="1899-12-30T11:43:22"/>
    <d v="1899-12-30T17:37:00"/>
    <m/>
    <n v="36.9"/>
    <n v="37.042000000000002"/>
    <n v="0.14200000000000301"/>
    <s v="5:53:38"/>
    <n v="0.124"/>
    <n v="36.917999999999999"/>
    <n v="1.8000000000000682E-2"/>
    <n v="36.908999999999999"/>
  </r>
  <r>
    <n v="90"/>
    <s v="CSAT265"/>
    <s v="CSAT264"/>
    <x v="0"/>
    <s v="Satellite Reef"/>
    <d v="2023-02-20T00:00:00"/>
    <d v="2023-07-06T00:00:00"/>
    <n v="136"/>
    <s v="na"/>
    <x v="1"/>
    <n v="252"/>
    <n v="1"/>
    <s v="na"/>
    <s v="na"/>
    <n v="34.54"/>
    <n v="1.7622"/>
    <d v="1899-12-30T11:43:22"/>
    <d v="1899-12-30T17:32:00"/>
    <s v="na"/>
    <s v="na"/>
    <s v="na"/>
    <s v="na"/>
    <s v="5:48:38"/>
    <s v="na"/>
    <s v="na"/>
    <s v="na"/>
    <n v="36.909999999999997"/>
  </r>
  <r>
    <n v="101"/>
    <s v="LSBI028"/>
    <s v="LSBI027"/>
    <x v="1"/>
    <s v="St. Bee's Island"/>
    <d v="2023-02-25T00:00:00"/>
    <d v="2023-07-14T00:00:00"/>
    <n v="139"/>
    <s v="na"/>
    <x v="2"/>
    <n v="226"/>
    <n v="2"/>
    <s v="na"/>
    <s v="na"/>
    <n v="31.76"/>
    <n v="1.3216000000000001"/>
    <d v="1899-12-30T11:30:00"/>
    <d v="1899-12-30T17:33:00"/>
    <s v="na"/>
    <s v="na"/>
    <s v="na"/>
    <s v="na"/>
    <s v="6:03:00"/>
    <s v="na"/>
    <s v="na"/>
    <s v="na"/>
    <n v="36.909999999999997"/>
  </r>
  <r>
    <n v="110"/>
    <s v="CPRE453"/>
    <s v="CPRE459"/>
    <x v="0"/>
    <s v="Pretty Patches"/>
    <d v="2023-03-07T00:00:00"/>
    <d v="2023-07-12T00:00:00"/>
    <n v="127"/>
    <s v="na"/>
    <x v="1"/>
    <n v="329"/>
    <n v="1"/>
    <s v="na"/>
    <s v="na"/>
    <n v="35.049999999999997"/>
    <n v="1.5472999999999999"/>
    <d v="1899-12-30T12:13:52"/>
    <d v="1899-12-30T18:11:00"/>
    <s v="na"/>
    <s v="na"/>
    <s v="na"/>
    <s v="na"/>
    <s v="5:57:08"/>
    <s v="na"/>
    <s v="na"/>
    <s v="na"/>
    <n v="36.909999999999997"/>
  </r>
  <r>
    <n v="107"/>
    <s v="CPRE521"/>
    <s v="CPRE524"/>
    <x v="0"/>
    <s v="Pretty Patches"/>
    <d v="2023-03-05T00:00:00"/>
    <d v="2023-07-13T00:00:00"/>
    <n v="130"/>
    <s v="blue"/>
    <x v="0"/>
    <n v="247"/>
    <n v="1"/>
    <n v="6"/>
    <n v="4"/>
    <n v="31.74"/>
    <n v="1.3596999999999999"/>
    <d v="1899-12-30T11:50:15"/>
    <d v="1899-12-30T17:48:00"/>
    <m/>
    <n v="37"/>
    <n v="36.878"/>
    <n v="-0.12199999999999989"/>
    <s v="5:57:45"/>
    <n v="5.5E-2"/>
    <n v="36.823"/>
    <n v="-0.1769999999999996"/>
    <n v="36.911500000000004"/>
  </r>
  <r>
    <n v="107"/>
    <s v="CPRE521"/>
    <s v="CPRE524"/>
    <x v="0"/>
    <s v="Pretty Patches"/>
    <d v="2023-03-05T00:00:00"/>
    <d v="2023-07-13T00:00:00"/>
    <n v="130"/>
    <s v="white"/>
    <x v="1"/>
    <n v="231"/>
    <n v="2"/>
    <n v="6"/>
    <n v="3"/>
    <n v="27.31"/>
    <n v="0.8034"/>
    <d v="1899-12-30T11:50:15"/>
    <d v="1899-12-30T17:48:00"/>
    <m/>
    <n v="37"/>
    <n v="36.878"/>
    <n v="-0.12199999999999989"/>
    <s v="5:57:45"/>
    <n v="5.5E-2"/>
    <n v="36.823"/>
    <n v="-0.1769999999999996"/>
    <n v="36.911500000000004"/>
  </r>
  <r>
    <n v="107"/>
    <s v="CPRE521"/>
    <s v="CPRE524"/>
    <x v="0"/>
    <s v="Pretty Patches"/>
    <d v="2023-03-05T00:00:00"/>
    <d v="2023-07-13T00:00:00"/>
    <n v="130"/>
    <s v="white"/>
    <x v="1"/>
    <n v="231"/>
    <n v="2"/>
    <n v="6"/>
    <n v="1"/>
    <n v="30.58"/>
    <n v="1.288"/>
    <d v="1899-12-30T11:50:15"/>
    <d v="1899-12-30T17:48:00"/>
    <m/>
    <n v="37"/>
    <n v="36.878"/>
    <n v="-0.12199999999999989"/>
    <s v="5:57:45"/>
    <n v="5.5E-2"/>
    <n v="36.823"/>
    <n v="-0.1769999999999996"/>
    <n v="36.911500000000004"/>
  </r>
  <r>
    <n v="65"/>
    <s v="LSBI028"/>
    <s v="LSBI027"/>
    <x v="1"/>
    <s v="St. Bee's Island"/>
    <d v="2023-01-27T00:00:00"/>
    <d v="2023-06-09T00:00:00"/>
    <n v="133"/>
    <s v="blue"/>
    <x v="0"/>
    <n v="147"/>
    <n v="1"/>
    <n v="3"/>
    <n v="2"/>
    <n v="31.3"/>
    <n v="1.2248000000000001"/>
    <d v="1899-12-30T11:33:47"/>
    <d v="1899-12-30T17:35:00"/>
    <n v="36.932500000000005"/>
    <n v="36.85"/>
    <n v="37.015000000000001"/>
    <n v="0.16499999999999915"/>
    <s v="6:01:13"/>
    <n v="3.3820000000000003E-2"/>
    <n v="36.981180000000002"/>
    <n v="0.13118000000000052"/>
    <n v="36.915590000000002"/>
  </r>
  <r>
    <n v="65"/>
    <s v="LSBI028"/>
    <s v="LSBI027"/>
    <x v="1"/>
    <s v="St. Bee's Island"/>
    <d v="2023-01-27T00:00:00"/>
    <d v="2023-06-09T00:00:00"/>
    <n v="133"/>
    <s v="blue"/>
    <x v="0"/>
    <n v="147"/>
    <n v="1"/>
    <n v="3"/>
    <n v="4"/>
    <n v="33.11"/>
    <n v="1.4584999999999999"/>
    <d v="1899-12-30T11:33:47"/>
    <d v="1899-12-30T17:35:00"/>
    <n v="36.932500000000005"/>
    <n v="36.85"/>
    <n v="37.015000000000001"/>
    <n v="0.16499999999999915"/>
    <s v="6:01:13"/>
    <n v="3.3820000000000003E-2"/>
    <n v="36.981180000000002"/>
    <n v="0.13118000000000052"/>
    <n v="36.915590000000002"/>
  </r>
  <r>
    <n v="65"/>
    <s v="LSBI028"/>
    <s v="LSBI027"/>
    <x v="1"/>
    <s v="St. Bee's Island"/>
    <d v="2023-01-27T00:00:00"/>
    <d v="2023-06-09T00:00:00"/>
    <n v="133"/>
    <s v="white"/>
    <x v="1"/>
    <n v="232"/>
    <n v="1"/>
    <n v="3"/>
    <n v="1"/>
    <n v="34.07"/>
    <n v="1.5577000000000001"/>
    <d v="1899-12-30T11:33:47"/>
    <d v="1899-12-30T17:35:00"/>
    <n v="36.932500000000005"/>
    <n v="36.85"/>
    <n v="37.015000000000001"/>
    <n v="0.16499999999999915"/>
    <s v="6:01:13"/>
    <n v="3.3820000000000003E-2"/>
    <n v="36.981180000000002"/>
    <n v="0.13118000000000052"/>
    <n v="36.915590000000002"/>
  </r>
  <r>
    <n v="96"/>
    <s v="CARL338"/>
    <s v="CARL345"/>
    <x v="0"/>
    <s v="Arlington Reef"/>
    <d v="2023-02-23T00:00:00"/>
    <d v="2023-07-06T00:00:00"/>
    <n v="133"/>
    <s v="red"/>
    <x v="1"/>
    <n v="250"/>
    <n v="1"/>
    <n v="6"/>
    <n v="5"/>
    <n v="28.21"/>
    <n v="0.94540000000000002"/>
    <d v="1899-12-30T11:43:22"/>
    <d v="1899-12-30T17:39:00"/>
    <m/>
    <n v="36.9"/>
    <n v="36.933"/>
    <n v="3.3000000000001251E-2"/>
    <s v="5:55:38"/>
    <n v="7.6999999999999996E-4"/>
    <n v="36.932229999999997"/>
    <n v="3.2229999999998427E-2"/>
    <n v="36.916114999999998"/>
  </r>
  <r>
    <n v="101"/>
    <s v="LSBI028"/>
    <s v="LSBI027"/>
    <x v="1"/>
    <s v="St. Bee's Island"/>
    <d v="2023-02-25T00:00:00"/>
    <d v="2023-07-13T00:00:00"/>
    <n v="138"/>
    <s v="blue"/>
    <x v="0"/>
    <n v="339"/>
    <n v="1"/>
    <n v="1"/>
    <n v="3"/>
    <n v="34.840000000000003"/>
    <n v="1.6918"/>
    <d v="1899-12-30T11:50:15"/>
    <d v="1899-12-30T17:46:00"/>
    <m/>
    <m/>
    <n v="36.987000000000002"/>
    <m/>
    <s v="5:55:45"/>
    <n v="6.8000000000000005E-2"/>
    <n v="36.919000000000004"/>
    <m/>
    <n v="36.919000000000004"/>
  </r>
  <r>
    <n v="101"/>
    <s v="LSBI028"/>
    <s v="LSBI027"/>
    <x v="1"/>
    <s v="St. Bee's Island"/>
    <d v="2023-02-25T00:00:00"/>
    <d v="2023-07-13T00:00:00"/>
    <n v="138"/>
    <s v="white"/>
    <x v="1"/>
    <n v="135"/>
    <n v="2"/>
    <n v="1"/>
    <n v="3"/>
    <n v="37.99"/>
    <n v="2.0783999999999998"/>
    <d v="1899-12-30T11:50:15"/>
    <d v="1899-12-30T17:46:00"/>
    <m/>
    <m/>
    <n v="36.987000000000002"/>
    <m/>
    <s v="5:55:45"/>
    <n v="6.8000000000000005E-2"/>
    <n v="36.919000000000004"/>
    <m/>
    <n v="36.919000000000004"/>
  </r>
  <r>
    <n v="60"/>
    <s v="LCKM159"/>
    <s v="LCKM155"/>
    <x v="1"/>
    <s v="Cockermouth Island"/>
    <d v="2023-01-17T00:00:00"/>
    <d v="2023-06-09T00:00:00"/>
    <n v="143"/>
    <s v="na"/>
    <x v="0"/>
    <n v="142"/>
    <n v="1"/>
    <s v="na"/>
    <s v="na"/>
    <n v="27.74"/>
    <n v="0.78420000000000001"/>
    <d v="1899-12-30T11:33:47"/>
    <d v="1899-12-30T17:23:00"/>
    <s v="na"/>
    <s v="na"/>
    <s v="na"/>
    <s v="na"/>
    <s v="na"/>
    <s v="na"/>
    <n v="36.92"/>
    <s v="na"/>
    <n v="36.92"/>
  </r>
  <r>
    <n v="60"/>
    <s v="LCKM159"/>
    <s v="LCKM155"/>
    <x v="1"/>
    <s v="Cockermouth Island"/>
    <d v="2023-01-17T00:00:00"/>
    <d v="2023-06-09T00:00:00"/>
    <n v="143"/>
    <s v="na"/>
    <x v="0"/>
    <n v="142"/>
    <n v="1"/>
    <s v="na"/>
    <s v="na"/>
    <n v="37.93"/>
    <n v="1.8859999999999999"/>
    <d v="1899-12-30T11:33:47"/>
    <d v="1899-12-30T17:25:00"/>
    <s v="na"/>
    <s v="na"/>
    <s v="na"/>
    <s v="na"/>
    <s v="na"/>
    <s v="na"/>
    <n v="36.92"/>
    <s v="na"/>
    <n v="36.92"/>
  </r>
  <r>
    <n v="89"/>
    <s v="LCKM159"/>
    <s v="LCKM155"/>
    <x v="1"/>
    <s v="Cockermouth Island"/>
    <d v="2023-02-10T00:00:00"/>
    <d v="2023-06-06T00:00:00"/>
    <n v="116"/>
    <s v="blue"/>
    <x v="0"/>
    <n v="246"/>
    <n v="1"/>
    <n v="1"/>
    <n v="4"/>
    <n v="24.45"/>
    <n v="0.58830000000000005"/>
    <d v="1899-12-30T10:33:39"/>
    <d v="1899-12-30T17:02:00"/>
    <n v="36.93"/>
    <n v="36.9"/>
    <n v="36.96"/>
    <n v="6.0000000000002274E-2"/>
    <s v="6:28:21"/>
    <n v="7.3099999999999997E-3"/>
    <n v="36.952690000000004"/>
    <n v="5.2690000000005455E-2"/>
    <n v="36.926344999999998"/>
  </r>
  <r>
    <n v="89"/>
    <s v="LCKM159"/>
    <s v="LCKM155"/>
    <x v="1"/>
    <s v="Cockermouth Island"/>
    <d v="2023-02-10T00:00:00"/>
    <d v="2023-06-06T00:00:00"/>
    <n v="116"/>
    <s v="blue"/>
    <x v="0"/>
    <n v="246"/>
    <n v="1"/>
    <n v="1"/>
    <n v="1"/>
    <n v="27.12"/>
    <n v="0.87150000000000005"/>
    <d v="1899-12-30T10:33:39"/>
    <d v="1899-12-30T17:02:00"/>
    <n v="36.93"/>
    <n v="36.9"/>
    <n v="36.96"/>
    <n v="6.0000000000002274E-2"/>
    <s v="6:28:21"/>
    <n v="7.3099999999999997E-3"/>
    <n v="36.952690000000004"/>
    <n v="5.2690000000005455E-2"/>
    <n v="36.926344999999998"/>
  </r>
  <r>
    <n v="60"/>
    <s v="LCKM159"/>
    <s v="LCKM155"/>
    <x v="1"/>
    <s v="Cockermouth Island"/>
    <d v="2023-01-17T00:00:00"/>
    <d v="2023-06-09T00:00:00"/>
    <n v="143"/>
    <s v="red"/>
    <x v="2"/>
    <n v="128"/>
    <n v="2"/>
    <n v="1"/>
    <n v="4"/>
    <n v="28.33"/>
    <n v="0.85760000000000003"/>
    <d v="1899-12-30T11:33:47"/>
    <d v="1899-12-30T17:32:00"/>
    <n v="36.9435"/>
    <n v="36.9"/>
    <n v="36.987000000000002"/>
    <n v="8.7000000000003297E-2"/>
    <s v="5:58:13"/>
    <n v="2.9250000000000002E-2"/>
    <n v="36.957750000000004"/>
    <n v="5.7750000000005741E-2"/>
    <n v="36.928875000000005"/>
  </r>
  <r>
    <n v="74"/>
    <s v="LSBI023"/>
    <s v="LCHA118"/>
    <x v="1"/>
    <s v="Chauvel Reef/St. Bee's Island"/>
    <d v="2023-02-01T00:00:00"/>
    <d v="2023-06-09T00:00:00"/>
    <n v="128"/>
    <s v="blue"/>
    <x v="0"/>
    <n v="144"/>
    <n v="1"/>
    <n v="4"/>
    <n v="5"/>
    <n v="31.96"/>
    <n v="1.2475000000000001"/>
    <d v="1899-12-30T11:33:47"/>
    <d v="1899-12-30T17:32:00"/>
    <n v="36.9435"/>
    <n v="36.9"/>
    <n v="36.987000000000002"/>
    <n v="8.7000000000003297E-2"/>
    <s v="5:58:13"/>
    <n v="2.9250000000000002E-2"/>
    <n v="36.957750000000004"/>
    <n v="5.7750000000005741E-2"/>
    <n v="36.928875000000005"/>
  </r>
  <r>
    <n v="65"/>
    <s v="LSBI028"/>
    <s v="LSBI027"/>
    <x v="1"/>
    <s v="St. Bee's Island"/>
    <d v="2023-01-27T00:00:00"/>
    <d v="2023-06-09T00:00:00"/>
    <n v="133"/>
    <s v="na"/>
    <x v="2"/>
    <n v="126"/>
    <n v="2"/>
    <s v="na"/>
    <s v="na"/>
    <n v="32.369999999999997"/>
    <n v="1.4326000000000001"/>
    <d v="1899-12-30T11:33:47"/>
    <d v="1899-12-30T17:25:00"/>
    <n v="36.93"/>
    <s v="na"/>
    <s v="na"/>
    <s v="na"/>
    <s v="na"/>
    <s v="na"/>
    <s v="na"/>
    <s v="na"/>
    <n v="36.93"/>
  </r>
  <r>
    <n v="96"/>
    <s v="CARL338"/>
    <s v="CARL345"/>
    <x v="0"/>
    <s v="Arlington Reef"/>
    <d v="2023-02-23T00:00:00"/>
    <d v="2023-07-14T00:00:00"/>
    <n v="141"/>
    <s v="na"/>
    <x v="1"/>
    <n v="233"/>
    <n v="2"/>
    <s v="na"/>
    <s v="na"/>
    <n v="34.49"/>
    <n v="1.5760000000000001"/>
    <d v="1899-12-30T11:30:00"/>
    <d v="1899-12-30T17:37:00"/>
    <s v="na"/>
    <s v="na"/>
    <s v="na"/>
    <s v="na"/>
    <s v="6:07:00"/>
    <s v="na"/>
    <s v="na"/>
    <s v="na"/>
    <n v="36.93"/>
  </r>
  <r>
    <n v="96"/>
    <s v="CARL338"/>
    <s v="CARL345"/>
    <x v="0"/>
    <s v="Arlington Reef"/>
    <d v="2023-02-23T00:00:00"/>
    <d v="2023-07-14T00:00:00"/>
    <n v="141"/>
    <s v="na"/>
    <x v="2"/>
    <n v="157"/>
    <n v="1"/>
    <s v="na"/>
    <s v="na"/>
    <n v="33.950000000000003"/>
    <n v="1.7159"/>
    <d v="1899-12-30T11:30:00"/>
    <d v="1899-12-30T17:37:00"/>
    <s v="na"/>
    <s v="na"/>
    <s v="na"/>
    <s v="na"/>
    <s v="6:07:00"/>
    <s v="na"/>
    <s v="na"/>
    <s v="na"/>
    <n v="36.93"/>
  </r>
  <r>
    <n v="102"/>
    <s v="LSBI034"/>
    <s v="LCHA120"/>
    <x v="1"/>
    <s v="Chauvel Reef/St. Bee's Island"/>
    <d v="2023-02-27T00:00:00"/>
    <d v="2023-07-13T00:00:00"/>
    <n v="136"/>
    <s v="na"/>
    <x v="2"/>
    <n v="223"/>
    <n v="1"/>
    <s v="na"/>
    <s v="na"/>
    <n v="31.14"/>
    <n v="1.2896000000000001"/>
    <d v="1899-12-30T11:45:00"/>
    <d v="1899-12-30T17:47:00"/>
    <s v="na"/>
    <s v="na"/>
    <s v="na"/>
    <s v="na"/>
    <s v="6:02:00"/>
    <s v="na"/>
    <s v="na"/>
    <s v="na"/>
    <n v="36.93"/>
  </r>
  <r>
    <n v="107"/>
    <s v="CPRE521"/>
    <s v="CPRE524"/>
    <x v="0"/>
    <s v="Pretty Patches"/>
    <d v="2023-03-05T00:00:00"/>
    <d v="2023-07-14T00:00:00"/>
    <n v="131"/>
    <s v="na"/>
    <x v="1"/>
    <n v="149"/>
    <n v="1"/>
    <s v="na"/>
    <s v="na"/>
    <n v="32.520000000000003"/>
    <n v="1.3943000000000001"/>
    <d v="1899-12-30T11:30:00"/>
    <d v="1899-12-30T17:35:00"/>
    <s v="na"/>
    <s v="na"/>
    <s v="na"/>
    <s v="na"/>
    <s v="6:05:00"/>
    <s v="na"/>
    <s v="na"/>
    <s v="na"/>
    <n v="36.93"/>
  </r>
  <r>
    <n v="107"/>
    <s v="CPRE521"/>
    <s v="CPRE524"/>
    <x v="0"/>
    <s v="Pretty Patches"/>
    <d v="2023-03-05T00:00:00"/>
    <d v="2023-07-06T00:00:00"/>
    <n v="123"/>
    <s v="red"/>
    <x v="1"/>
    <n v="149"/>
    <n v="1"/>
    <n v="3"/>
    <n v="4"/>
    <n v="31.32"/>
    <n v="1.1915"/>
    <d v="1899-12-30T11:43:22"/>
    <d v="1899-12-30T17:39:00"/>
    <m/>
    <n v="36.9"/>
    <n v="37.095999999999997"/>
    <n v="0.19599999999999795"/>
    <s v="5:55:38"/>
    <n v="0.124"/>
    <n v="36.971999999999994"/>
    <n v="7.1999999999995623E-2"/>
    <n v="36.935999999999993"/>
  </r>
  <r>
    <n v="65"/>
    <s v="LSBI028"/>
    <s v="LSBI027"/>
    <x v="1"/>
    <s v="St. Bee's Island"/>
    <d v="2023-01-27T00:00:00"/>
    <d v="2023-06-06T00:00:00"/>
    <n v="130"/>
    <s v="blue"/>
    <x v="0"/>
    <n v="341"/>
    <n v="2"/>
    <n v="5"/>
    <n v="1"/>
    <n v="32.75"/>
    <n v="1.3322000000000001"/>
    <d v="1899-12-30T10:33:39"/>
    <d v="1899-12-30T17:10:00"/>
    <n v="37.042000000000002"/>
    <m/>
    <n v="37.042000000000002"/>
    <m/>
    <s v="6:36:21"/>
    <n v="0.10340000000000001"/>
    <n v="36.938600000000001"/>
    <m/>
    <n v="36.938600000000001"/>
  </r>
  <r>
    <n v="65"/>
    <s v="LSBI028"/>
    <s v="LSBI027"/>
    <x v="1"/>
    <s v="St. Bee's Island"/>
    <d v="2023-01-27T00:00:00"/>
    <d v="2023-06-06T00:00:00"/>
    <n v="130"/>
    <s v="blue"/>
    <x v="0"/>
    <n v="341"/>
    <n v="2"/>
    <n v="5"/>
    <n v="2"/>
    <n v="38.94"/>
    <n v="2.1591"/>
    <d v="1899-12-30T10:33:39"/>
    <d v="1899-12-30T17:10:00"/>
    <n v="37.042000000000002"/>
    <m/>
    <n v="37.042000000000002"/>
    <m/>
    <s v="6:36:21"/>
    <n v="0.10340000000000001"/>
    <n v="36.938600000000001"/>
    <m/>
    <n v="36.938600000000001"/>
  </r>
  <r>
    <n v="89"/>
    <s v="LCKM159"/>
    <s v="LCKM155"/>
    <x v="1"/>
    <s v="Cockermouth Island"/>
    <d v="2023-02-10T00:00:00"/>
    <d v="2023-06-06T00:00:00"/>
    <n v="116"/>
    <s v="blue"/>
    <x v="0"/>
    <n v="246"/>
    <n v="1"/>
    <n v="1"/>
    <n v="2"/>
    <n v="23.25"/>
    <n v="0.53310000000000002"/>
    <d v="1899-12-30T10:33:39"/>
    <d v="1899-12-30T17:04:00"/>
    <n v="36.9435"/>
    <n v="36.9"/>
    <n v="36.987000000000002"/>
    <n v="8.7000000000003297E-2"/>
    <s v="6:30:21"/>
    <n v="7.3099999999999997E-3"/>
    <n v="36.979690000000005"/>
    <n v="7.9690000000006478E-2"/>
    <n v="36.939845000000005"/>
  </r>
  <r>
    <n v="65"/>
    <s v="LSBI028"/>
    <s v="LSBI027"/>
    <x v="1"/>
    <s v="St. Bee's Island"/>
    <d v="2023-01-27T00:00:00"/>
    <d v="2023-06-10T00:00:00"/>
    <n v="134"/>
    <s v="na"/>
    <x v="0"/>
    <n v="341"/>
    <n v="2"/>
    <s v="na"/>
    <s v="na"/>
    <n v="35.770000000000003"/>
    <n v="1.7416"/>
    <d v="1899-12-30T12:15:00"/>
    <d v="1899-12-30T18:10:00"/>
    <s v="na"/>
    <s v="na"/>
    <s v="na"/>
    <s v="na"/>
    <s v="5:55:00"/>
    <s v="na"/>
    <s v="na"/>
    <s v="na"/>
    <n v="36.94"/>
  </r>
  <r>
    <n v="65"/>
    <s v="LSBI028"/>
    <s v="LSBI027"/>
    <x v="1"/>
    <s v="St. Bee's Island"/>
    <d v="2023-01-27T00:00:00"/>
    <d v="2023-06-10T00:00:00"/>
    <n v="134"/>
    <s v="na"/>
    <x v="0"/>
    <n v="341"/>
    <n v="2"/>
    <s v="na"/>
    <s v="na"/>
    <n v="35.6"/>
    <n v="1.7567999999999999"/>
    <d v="1899-12-30T12:15:00"/>
    <d v="1899-12-30T18:10:00"/>
    <s v="na"/>
    <s v="na"/>
    <s v="na"/>
    <s v="na"/>
    <s v="5:55:00"/>
    <s v="na"/>
    <s v="na"/>
    <s v="na"/>
    <n v="36.94"/>
  </r>
  <r>
    <n v="74"/>
    <s v="LSBI023"/>
    <s v="LCHA118"/>
    <x v="1"/>
    <s v="Chauvel Reef/St. Bee's Island"/>
    <d v="2023-02-01T00:00:00"/>
    <d v="2023-06-10T00:00:00"/>
    <n v="129"/>
    <s v="na"/>
    <x v="1"/>
    <n v="230"/>
    <n v="1"/>
    <s v="na"/>
    <s v="na"/>
    <n v="32.229999999999997"/>
    <n v="1.2511000000000001"/>
    <d v="1899-12-30T12:15:00"/>
    <d v="1899-12-30T18:10:00"/>
    <s v="na"/>
    <s v="na"/>
    <s v="na"/>
    <s v="na"/>
    <s v="5:55:00"/>
    <s v="na"/>
    <s v="na"/>
    <s v="na"/>
    <n v="36.94"/>
  </r>
  <r>
    <n v="74"/>
    <s v="LSBI023"/>
    <s v="LCHA118"/>
    <x v="1"/>
    <s v="Chauvel Reef/St. Bee's Island"/>
    <d v="2023-02-01T00:00:00"/>
    <d v="2023-06-10T00:00:00"/>
    <n v="129"/>
    <s v="na"/>
    <x v="1"/>
    <n v="230"/>
    <n v="1"/>
    <s v="na"/>
    <s v="na"/>
    <n v="33.46"/>
    <n v="1.3877999999999999"/>
    <d v="1899-12-30T12:15:00"/>
    <d v="1899-12-30T18:10:00"/>
    <s v="na"/>
    <s v="na"/>
    <s v="na"/>
    <s v="na"/>
    <s v="5:55:00"/>
    <s v="na"/>
    <s v="na"/>
    <s v="na"/>
    <n v="36.94"/>
  </r>
  <r>
    <n v="74"/>
    <s v="LSBI023"/>
    <s v="LCHA118"/>
    <x v="1"/>
    <s v="Chauvel Reef/St. Bee's Island"/>
    <d v="2023-02-01T00:00:00"/>
    <d v="2023-06-10T00:00:00"/>
    <n v="129"/>
    <s v="na"/>
    <x v="2"/>
    <n v="227"/>
    <n v="1"/>
    <s v="na"/>
    <s v="na"/>
    <n v="30.75"/>
    <n v="1.1249"/>
    <d v="1899-12-30T12:15:00"/>
    <d v="1899-12-30T18:10:00"/>
    <s v="na"/>
    <s v="na"/>
    <s v="na"/>
    <s v="na"/>
    <s v="5:55:00"/>
    <s v="na"/>
    <s v="na"/>
    <s v="na"/>
    <n v="36.94"/>
  </r>
  <r>
    <n v="60"/>
    <s v="LCKM159"/>
    <s v="LCKM155"/>
    <x v="1"/>
    <s v="Cockermouth Island"/>
    <d v="2023-01-17T00:00:00"/>
    <d v="2023-06-09T00:00:00"/>
    <n v="143"/>
    <s v="white"/>
    <x v="1"/>
    <n v="152"/>
    <n v="2"/>
    <n v="1"/>
    <n v="5"/>
    <n v="35.520000000000003"/>
    <n v="1.7184999999999999"/>
    <d v="1899-12-30T11:33:47"/>
    <d v="1899-12-30T17:34:00"/>
    <n v="36.957499999999996"/>
    <n v="36.9"/>
    <n v="37.015000000000001"/>
    <n v="0.11500000000000199"/>
    <s v="6:00:13"/>
    <n v="2.9250000000000002E-2"/>
    <n v="36.985750000000003"/>
    <n v="8.5750000000004434E-2"/>
    <n v="36.942875000000001"/>
  </r>
  <r>
    <n v="60"/>
    <s v="LCKM159"/>
    <s v="LCKM155"/>
    <x v="1"/>
    <s v="Cockermouth Island"/>
    <d v="2023-01-17T00:00:00"/>
    <d v="2023-06-09T00:00:00"/>
    <n v="143"/>
    <s v="red"/>
    <x v="2"/>
    <n v="128"/>
    <n v="2"/>
    <n v="1"/>
    <n v="1"/>
    <n v="29.46"/>
    <n v="1.0839000000000001"/>
    <d v="1899-12-30T11:33:47"/>
    <d v="1899-12-30T17:34:00"/>
    <n v="36.957499999999996"/>
    <n v="36.9"/>
    <n v="37.015000000000001"/>
    <n v="0.11500000000000199"/>
    <s v="6:00:13"/>
    <n v="2.9250000000000002E-2"/>
    <n v="36.985750000000003"/>
    <n v="8.5750000000004434E-2"/>
    <n v="36.942875000000001"/>
  </r>
  <r>
    <n v="90"/>
    <s v="CSAT265"/>
    <s v="CSAT264"/>
    <x v="0"/>
    <s v="Satellite Reef"/>
    <d v="2023-02-20T00:00:00"/>
    <d v="2023-07-06T00:00:00"/>
    <n v="136"/>
    <s v="red"/>
    <x v="1"/>
    <n v="332"/>
    <n v="2"/>
    <n v="1"/>
    <n v="5"/>
    <n v="31.15"/>
    <n v="1.2593000000000001"/>
    <d v="1899-12-30T11:43:22"/>
    <d v="1899-12-30T17:40:00"/>
    <m/>
    <n v="36.9"/>
    <n v="37.095999999999997"/>
    <n v="0.19599999999999795"/>
    <s v="5:56:38"/>
    <n v="0.10299999999999999"/>
    <n v="36.992999999999995"/>
    <n v="9.2999999999996419E-2"/>
    <n v="36.9465"/>
  </r>
  <r>
    <n v="90"/>
    <s v="CSAT265"/>
    <s v="CSAT264"/>
    <x v="0"/>
    <s v="Satellite Reef"/>
    <d v="2023-02-20T00:00:00"/>
    <d v="2023-07-06T00:00:00"/>
    <n v="136"/>
    <s v="red"/>
    <x v="1"/>
    <n v="332"/>
    <n v="2"/>
    <n v="1"/>
    <n v="3"/>
    <n v="33.159999999999997"/>
    <n v="1.4847999999999999"/>
    <d v="1899-12-30T11:43:22"/>
    <d v="1899-12-30T17:40:00"/>
    <m/>
    <n v="36.9"/>
    <n v="37.095999999999997"/>
    <n v="0.19599999999999795"/>
    <s v="5:56:38"/>
    <n v="0.10299999999999999"/>
    <n v="36.992999999999995"/>
    <n v="9.2999999999996419E-2"/>
    <n v="36.9465"/>
  </r>
  <r>
    <n v="101"/>
    <s v="LSBI028"/>
    <s v="LSBI027"/>
    <x v="1"/>
    <s v="St. Bee's Island"/>
    <d v="2023-02-25T00:00:00"/>
    <d v="2023-07-13T00:00:00"/>
    <n v="138"/>
    <s v="blue"/>
    <x v="0"/>
    <n v="339"/>
    <n v="1"/>
    <n v="1"/>
    <n v="2"/>
    <n v="34.75"/>
    <n v="1.7930999999999999"/>
    <d v="1899-12-30T11:50:15"/>
    <d v="1899-12-30T17:48:00"/>
    <m/>
    <m/>
    <n v="37.015000000000001"/>
    <m/>
    <s v="5:57:45"/>
    <n v="6.8000000000000005E-2"/>
    <n v="36.947000000000003"/>
    <m/>
    <n v="36.947000000000003"/>
  </r>
  <r>
    <n v="101"/>
    <s v="LSBI028"/>
    <s v="LSBI027"/>
    <x v="1"/>
    <s v="St. Bee's Island"/>
    <d v="2023-02-25T00:00:00"/>
    <d v="2023-07-13T00:00:00"/>
    <n v="138"/>
    <s v="red"/>
    <x v="2"/>
    <n v="160"/>
    <n v="2"/>
    <n v="1"/>
    <n v="2"/>
    <n v="24.16"/>
    <n v="0.59030000000000005"/>
    <d v="1899-12-30T11:50:15"/>
    <d v="1899-12-30T17:48:00"/>
    <m/>
    <m/>
    <n v="37.015000000000001"/>
    <m/>
    <s v="5:57:45"/>
    <n v="6.8000000000000005E-2"/>
    <n v="36.947000000000003"/>
    <m/>
    <n v="36.947000000000003"/>
  </r>
  <r>
    <n v="99"/>
    <s v="CARL335"/>
    <s v="CARL359"/>
    <x v="0"/>
    <s v="Arlington Reef"/>
    <d v="2023-02-23T00:00:00"/>
    <d v="2023-07-05T00:00:00"/>
    <n v="132"/>
    <s v="na"/>
    <x v="2"/>
    <n v="324"/>
    <n v="2"/>
    <s v="na"/>
    <s v="na"/>
    <n v="36.119999999999997"/>
    <n v="1.8134999999999999"/>
    <d v="1899-12-30T13:00:00"/>
    <d v="1899-12-30T19:04:00"/>
    <s v="na"/>
    <s v="na"/>
    <s v="na"/>
    <s v="na"/>
    <s v="6:04:00"/>
    <s v="na"/>
    <s v="na"/>
    <s v="na"/>
    <n v="36.950000000000003"/>
  </r>
  <r>
    <n v="108"/>
    <s v="CARL369"/>
    <s v="CARL349"/>
    <x v="0"/>
    <s v="Arlington Reef"/>
    <d v="2023-03-05T00:00:00"/>
    <d v="2023-07-06T00:00:00"/>
    <n v="123"/>
    <s v="na"/>
    <x v="0"/>
    <n v="236"/>
    <n v="1"/>
    <s v="na"/>
    <s v="na"/>
    <n v="33.65"/>
    <n v="1.5509999999999999"/>
    <d v="1899-12-30T11:43:22"/>
    <d v="1899-12-30T17:37:00"/>
    <s v="na"/>
    <s v="na"/>
    <s v="na"/>
    <s v="na"/>
    <s v="5:53:38"/>
    <s v="na"/>
    <s v="na"/>
    <s v="na"/>
    <n v="36.950000000000003"/>
  </r>
  <r>
    <n v="108"/>
    <s v="CARL369"/>
    <s v="CARL349"/>
    <x v="0"/>
    <s v="Arlington Reef"/>
    <d v="2023-03-05T00:00:00"/>
    <d v="2023-07-06T00:00:00"/>
    <n v="123"/>
    <s v="na"/>
    <x v="1"/>
    <n v="354"/>
    <n v="1"/>
    <s v="na"/>
    <s v="na"/>
    <n v="35.35"/>
    <n v="1.8263"/>
    <d v="1899-12-30T11:43:22"/>
    <d v="1899-12-30T17:37:00"/>
    <s v="na"/>
    <s v="na"/>
    <s v="na"/>
    <s v="na"/>
    <s v="5:53:38"/>
    <s v="na"/>
    <s v="na"/>
    <s v="na"/>
    <n v="36.950000000000003"/>
  </r>
  <r>
    <n v="120"/>
    <s v="CPRE550"/>
    <s v="CPRE533"/>
    <x v="0"/>
    <s v="Pretty Patches"/>
    <d v="2023-03-21T00:00:00"/>
    <d v="2023-07-12T00:00:00"/>
    <n v="113"/>
    <s v="white"/>
    <x v="1"/>
    <n v="333"/>
    <n v="2"/>
    <n v="1"/>
    <n v="2"/>
    <n v="27.57"/>
    <n v="0.79339999999999999"/>
    <d v="1899-12-30T12:13:52"/>
    <d v="1899-12-30T18:16:00"/>
    <m/>
    <m/>
    <n v="37.069000000000003"/>
    <m/>
    <s v="6:02:08"/>
    <n v="0.11700000000000001"/>
    <n v="36.952000000000005"/>
    <m/>
    <n v="36.952000000000005"/>
  </r>
  <r>
    <n v="120"/>
    <s v="CPRE550"/>
    <s v="CPRE533"/>
    <x v="0"/>
    <s v="Pretty Patches"/>
    <d v="2023-03-21T00:00:00"/>
    <d v="2023-07-12T00:00:00"/>
    <n v="113"/>
    <s v="white"/>
    <x v="1"/>
    <n v="333"/>
    <n v="2"/>
    <n v="1"/>
    <n v="5"/>
    <n v="29.05"/>
    <n v="0.9395"/>
    <d v="1899-12-30T12:13:52"/>
    <d v="1899-12-30T18:16:00"/>
    <m/>
    <m/>
    <n v="37.069000000000003"/>
    <m/>
    <s v="6:02:08"/>
    <n v="0.11700000000000001"/>
    <n v="36.952000000000005"/>
    <m/>
    <n v="36.952000000000005"/>
  </r>
  <r>
    <n v="107"/>
    <s v="CPRE521"/>
    <s v="CPRE524"/>
    <x v="0"/>
    <s v="Pretty Patches"/>
    <d v="2023-03-05T00:00:00"/>
    <d v="2023-07-13T00:00:00"/>
    <n v="130"/>
    <s v="white"/>
    <x v="1"/>
    <n v="231"/>
    <n v="2"/>
    <n v="6"/>
    <n v="5"/>
    <n v="29.36"/>
    <n v="0.97909999999999997"/>
    <d v="1899-12-30T11:50:15"/>
    <d v="1899-12-30T17:52:00"/>
    <m/>
    <n v="37"/>
    <n v="36.96"/>
    <n v="-3.9999999999999147E-2"/>
    <s v="6:01:45"/>
    <n v="5.5E-2"/>
    <n v="36.905000000000001"/>
    <n v="-9.4999999999998863E-2"/>
    <n v="36.952500000000001"/>
  </r>
  <r>
    <n v="107"/>
    <s v="CPRE521"/>
    <s v="CPRE524"/>
    <x v="0"/>
    <s v="Pretty Patches"/>
    <d v="2023-03-05T00:00:00"/>
    <d v="2023-07-13T00:00:00"/>
    <n v="130"/>
    <s v="white"/>
    <x v="1"/>
    <n v="231"/>
    <n v="2"/>
    <n v="6"/>
    <n v="2"/>
    <n v="35.25"/>
    <n v="1.8019000000000001"/>
    <d v="1899-12-30T11:50:15"/>
    <d v="1899-12-30T17:52:00"/>
    <m/>
    <n v="37"/>
    <n v="36.96"/>
    <n v="-3.9999999999999147E-2"/>
    <s v="6:01:45"/>
    <n v="5.5E-2"/>
    <n v="36.905000000000001"/>
    <n v="-9.4999999999998863E-2"/>
    <n v="36.952500000000001"/>
  </r>
  <r>
    <n v="107"/>
    <s v="CPRE521"/>
    <s v="CPRE524"/>
    <x v="0"/>
    <s v="Pretty Patches"/>
    <d v="2023-03-05T00:00:00"/>
    <d v="2023-07-13T00:00:00"/>
    <n v="130"/>
    <s v="white"/>
    <x v="1"/>
    <n v="231"/>
    <n v="2"/>
    <n v="6"/>
    <n v="4"/>
    <n v="26.39"/>
    <n v="0.68400000000000005"/>
    <d v="1899-12-30T11:50:15"/>
    <d v="1899-12-30T17:56:00"/>
    <m/>
    <m/>
    <n v="37.015000000000001"/>
    <m/>
    <s v="6:05:45"/>
    <n v="5.5E-2"/>
    <n v="36.96"/>
    <m/>
    <n v="36.96"/>
  </r>
  <r>
    <n v="90"/>
    <s v="CSAT265"/>
    <s v="CSAT264"/>
    <x v="0"/>
    <s v="Satellite Reef"/>
    <d v="2023-02-20T00:00:00"/>
    <d v="2023-07-06T00:00:00"/>
    <n v="136"/>
    <s v="red"/>
    <x v="1"/>
    <n v="332"/>
    <n v="2"/>
    <n v="1"/>
    <n v="4"/>
    <n v="35.28"/>
    <n v="2.0047000000000001"/>
    <d v="1899-12-30T11:43:22"/>
    <d v="1899-12-30T17:42:00"/>
    <m/>
    <n v="36.9"/>
    <n v="37.124000000000002"/>
    <n v="0.22400000000000375"/>
    <s v="5:58:38"/>
    <n v="0.10299999999999999"/>
    <n v="37.021000000000001"/>
    <n v="0.12100000000000222"/>
    <n v="36.960499999999996"/>
  </r>
  <r>
    <n v="107"/>
    <s v="CPRE521"/>
    <s v="CPRE524"/>
    <x v="0"/>
    <s v="Pretty Patches"/>
    <d v="2023-03-05T00:00:00"/>
    <d v="2023-07-06T00:00:00"/>
    <n v="123"/>
    <s v="white"/>
    <x v="0"/>
    <n v="141"/>
    <n v="2"/>
    <n v="3"/>
    <n v="1"/>
    <n v="35.409999999999997"/>
    <n v="1.9214"/>
    <d v="1899-12-30T11:43:22"/>
    <d v="1899-12-30T17:45:00"/>
    <m/>
    <n v="36.9"/>
    <n v="37.151000000000003"/>
    <n v="0.25100000000000477"/>
    <s v="6:01:38"/>
    <n v="0.124"/>
    <n v="37.027000000000001"/>
    <n v="0.12700000000000244"/>
    <n v="36.963499999999996"/>
  </r>
  <r>
    <n v="107"/>
    <s v="CPRE521"/>
    <s v="CPRE524"/>
    <x v="0"/>
    <s v="Pretty Patches"/>
    <d v="2023-03-05T00:00:00"/>
    <d v="2023-07-06T00:00:00"/>
    <n v="123"/>
    <s v="red"/>
    <x v="1"/>
    <n v="149"/>
    <n v="1"/>
    <n v="3"/>
    <n v="2"/>
    <n v="34.51"/>
    <n v="1.7822"/>
    <d v="1899-12-30T11:43:22"/>
    <d v="1899-12-30T17:42:00"/>
    <m/>
    <n v="36.9"/>
    <n v="37.151000000000003"/>
    <n v="0.25100000000000477"/>
    <s v="5:58:38"/>
    <n v="0.124"/>
    <n v="37.027000000000001"/>
    <n v="0.12700000000000244"/>
    <n v="36.963499999999996"/>
  </r>
  <r>
    <n v="69"/>
    <s v="LCKM164"/>
    <s v="LCKM156"/>
    <x v="1"/>
    <s v="Cockermouth Island"/>
    <d v="2023-01-30T00:00:00"/>
    <d v="2023-06-06T00:00:00"/>
    <n v="127"/>
    <s v="red"/>
    <x v="2"/>
    <n v="224"/>
    <n v="2"/>
    <n v="2"/>
    <n v="3"/>
    <n v="32.72"/>
    <n v="1.3856999999999999"/>
    <d v="1899-12-30T10:33:39"/>
    <d v="1899-12-30T17:08:00"/>
    <n v="37.042000000000002"/>
    <m/>
    <n v="37.042000000000002"/>
    <m/>
    <s v="6:34:21"/>
    <n v="7.6850000000000002E-2"/>
    <n v="36.965150000000001"/>
    <m/>
    <n v="36.965150000000001"/>
  </r>
  <r>
    <n v="65"/>
    <s v="LSBI028"/>
    <s v="LSBI027"/>
    <x v="1"/>
    <s v="St. Bee's Island"/>
    <d v="2023-01-27T00:00:00"/>
    <d v="2023-06-09T00:00:00"/>
    <n v="133"/>
    <s v="red"/>
    <x v="2"/>
    <n v="126"/>
    <n v="1"/>
    <n v="3"/>
    <n v="5"/>
    <n v="30.91"/>
    <n v="1.1254999999999999"/>
    <d v="1899-12-30T11:33:47"/>
    <d v="1899-12-30T17:38:00"/>
    <n v="36.984499999999997"/>
    <n v="36.9"/>
    <n v="37.069000000000003"/>
    <n v="0.16900000000000404"/>
    <s v="6:04:13"/>
    <n v="3.3820000000000003E-2"/>
    <n v="37.035180000000004"/>
    <n v="0.13518000000000541"/>
    <n v="36.967590000000001"/>
  </r>
  <r>
    <n v="99"/>
    <s v="CARL335"/>
    <s v="CARL359"/>
    <x v="0"/>
    <s v="Arlington Reef"/>
    <d v="2023-02-23T00:00:00"/>
    <d v="2023-07-13T00:00:00"/>
    <n v="140"/>
    <s v="blue"/>
    <x v="0"/>
    <n v="342"/>
    <n v="2"/>
    <n v="4"/>
    <n v="3"/>
    <n v="31.87"/>
    <n v="1.4117999999999999"/>
    <d v="1899-12-30T11:50:15"/>
    <d v="1899-12-30T17:49:00"/>
    <m/>
    <m/>
    <n v="36.987000000000002"/>
    <m/>
    <s v="5:58:45"/>
    <n v="1.7999999999999999E-2"/>
    <n v="36.969000000000001"/>
    <m/>
    <n v="36.969000000000001"/>
  </r>
  <r>
    <n v="99"/>
    <s v="CARL335"/>
    <s v="CARL359"/>
    <x v="0"/>
    <s v="Arlington Reef"/>
    <d v="2023-02-23T00:00:00"/>
    <d v="2023-07-13T00:00:00"/>
    <n v="140"/>
    <s v="blue"/>
    <x v="0"/>
    <n v="342"/>
    <n v="2"/>
    <n v="4"/>
    <n v="4"/>
    <n v="34.06"/>
    <n v="1.6483000000000001"/>
    <d v="1899-12-30T11:50:15"/>
    <d v="1899-12-30T17:49:00"/>
    <m/>
    <m/>
    <n v="36.987000000000002"/>
    <m/>
    <s v="5:58:45"/>
    <n v="1.7999999999999999E-2"/>
    <n v="36.969000000000001"/>
    <m/>
    <n v="36.969000000000001"/>
  </r>
  <r>
    <n v="99"/>
    <s v="CARL335"/>
    <s v="CARL359"/>
    <x v="0"/>
    <s v="Arlington Reef"/>
    <d v="2023-02-23T00:00:00"/>
    <d v="2023-07-13T00:00:00"/>
    <n v="140"/>
    <s v="white"/>
    <x v="1"/>
    <n v="234"/>
    <n v="2"/>
    <n v="4"/>
    <n v="1"/>
    <n v="29.31"/>
    <n v="1.0072000000000001"/>
    <d v="1899-12-30T11:50:15"/>
    <d v="1899-12-30T17:51:00"/>
    <m/>
    <m/>
    <n v="36.987000000000002"/>
    <m/>
    <s v="6:00:45"/>
    <n v="1.7999999999999999E-2"/>
    <n v="36.969000000000001"/>
    <m/>
    <n v="36.969000000000001"/>
  </r>
  <r>
    <n v="99"/>
    <s v="CARL335"/>
    <s v="CARL359"/>
    <x v="0"/>
    <s v="Arlington Reef"/>
    <d v="2023-02-23T00:00:00"/>
    <d v="2023-07-13T00:00:00"/>
    <n v="140"/>
    <s v="white"/>
    <x v="1"/>
    <n v="234"/>
    <n v="2"/>
    <n v="4"/>
    <n v="4"/>
    <n v="32.26"/>
    <n v="1.4271"/>
    <d v="1899-12-30T11:50:15"/>
    <d v="1899-12-30T17:51:00"/>
    <m/>
    <m/>
    <n v="36.987000000000002"/>
    <m/>
    <s v="6:00:45"/>
    <n v="1.7999999999999999E-2"/>
    <n v="36.969000000000001"/>
    <m/>
    <n v="36.969000000000001"/>
  </r>
  <r>
    <n v="99"/>
    <s v="CARL335"/>
    <s v="CARL359"/>
    <x v="0"/>
    <s v="Arlington Reef"/>
    <d v="2023-02-23T00:00:00"/>
    <d v="2023-07-13T00:00:00"/>
    <n v="140"/>
    <s v="red"/>
    <x v="2"/>
    <n v="258"/>
    <n v="1"/>
    <n v="4"/>
    <n v="4"/>
    <n v="33.71"/>
    <n v="1.6623000000000001"/>
    <d v="1899-12-30T11:50:15"/>
    <d v="1899-12-30T17:51:00"/>
    <m/>
    <m/>
    <n v="36.987000000000002"/>
    <m/>
    <s v="6:00:45"/>
    <n v="1.7999999999999999E-2"/>
    <n v="36.969000000000001"/>
    <m/>
    <n v="36.969000000000001"/>
  </r>
  <r>
    <n v="99"/>
    <s v="CARL335"/>
    <s v="CARL359"/>
    <x v="0"/>
    <s v="Arlington Reef"/>
    <d v="2023-02-23T00:00:00"/>
    <d v="2023-07-13T00:00:00"/>
    <n v="140"/>
    <s v="red"/>
    <x v="2"/>
    <n v="258"/>
    <n v="1"/>
    <n v="4"/>
    <n v="3"/>
    <n v="34.31"/>
    <n v="1.7537"/>
    <d v="1899-12-30T11:50:15"/>
    <d v="1899-12-30T17:51:00"/>
    <m/>
    <m/>
    <n v="36.987000000000002"/>
    <m/>
    <s v="6:00:45"/>
    <n v="1.7999999999999999E-2"/>
    <n v="36.969000000000001"/>
    <m/>
    <n v="36.969000000000001"/>
  </r>
  <r>
    <n v="60"/>
    <s v="LCKM159"/>
    <s v="LCKM155"/>
    <x v="1"/>
    <s v="Cockermouth Island"/>
    <d v="2023-01-17T00:00:00"/>
    <d v="2023-06-06T00:00:00"/>
    <n v="140"/>
    <s v="na"/>
    <x v="2"/>
    <n v="128"/>
    <n v="2"/>
    <s v="na"/>
    <s v="na"/>
    <n v="29.46"/>
    <n v="1.0839000000000001"/>
    <d v="1899-12-30T10:33:39"/>
    <d v="1899-12-30T17:01:00"/>
    <s v="na"/>
    <s v="na"/>
    <s v="na"/>
    <s v="na"/>
    <s v="6:27:21"/>
    <s v="na"/>
    <s v="na"/>
    <s v="na"/>
    <n v="36.97"/>
  </r>
  <r>
    <n v="108"/>
    <s v="CARL369"/>
    <s v="CARL349"/>
    <x v="0"/>
    <s v="Arlington Reef"/>
    <d v="2023-03-05T00:00:00"/>
    <d v="2023-07-06T00:00:00"/>
    <n v="123"/>
    <s v="na"/>
    <x v="1"/>
    <n v="354"/>
    <n v="1"/>
    <s v="na"/>
    <s v="na"/>
    <n v="28.76"/>
    <n v="0.95189999999999997"/>
    <d v="1899-12-30T11:43:22"/>
    <d v="1899-12-30T17:37:00"/>
    <s v="na"/>
    <s v="na"/>
    <s v="na"/>
    <s v="na"/>
    <s v="5:53:38"/>
    <s v="na"/>
    <s v="na"/>
    <s v="na"/>
    <n v="36.97"/>
  </r>
  <r>
    <n v="120"/>
    <s v="CPRE550"/>
    <s v="CPRE533"/>
    <x v="0"/>
    <s v="Pretty Patches"/>
    <d v="2023-03-21T00:00:00"/>
    <d v="2023-07-12T00:00:00"/>
    <n v="113"/>
    <s v="white"/>
    <x v="1"/>
    <n v="333"/>
    <n v="2"/>
    <n v="1"/>
    <n v="4"/>
    <n v="34.630000000000003"/>
    <n v="1.8217000000000001"/>
    <d v="1899-12-30T12:13:52"/>
    <d v="1899-12-30T18:18:00"/>
    <m/>
    <m/>
    <n v="37.095999999999997"/>
    <m/>
    <s v="6:04:08"/>
    <n v="0.11700000000000001"/>
    <n v="36.978999999999999"/>
    <m/>
    <n v="36.978999999999999"/>
  </r>
  <r>
    <n v="87"/>
    <s v="CRUS426"/>
    <s v="CRUS360"/>
    <x v="0"/>
    <s v="Russel Island"/>
    <d v="2023-02-16T00:00:00"/>
    <d v="2023-06-06T00:00:00"/>
    <n v="110"/>
    <s v="blue"/>
    <x v="0"/>
    <n v="340"/>
    <n v="2"/>
    <n v="6"/>
    <n v="2"/>
    <n v="27.3"/>
    <n v="0.80879999999999996"/>
    <d v="1899-12-30T10:33:39"/>
    <d v="1899-12-30T17:05:00"/>
    <m/>
    <m/>
    <n v="36.987000000000002"/>
    <m/>
    <s v="6:31:21"/>
    <n v="7.3099999999999997E-3"/>
    <n v="36.979690000000005"/>
    <m/>
    <n v="36.979690000000005"/>
  </r>
  <r>
    <n v="87"/>
    <s v="CRUS426"/>
    <s v="CRUS360"/>
    <x v="0"/>
    <s v="Russel Island"/>
    <d v="2023-02-16T00:00:00"/>
    <d v="2023-06-06T00:00:00"/>
    <n v="110"/>
    <s v="blue"/>
    <x v="0"/>
    <n v="340"/>
    <n v="2"/>
    <n v="6"/>
    <n v="3"/>
    <n v="30.03"/>
    <n v="1.0628"/>
    <d v="1899-12-30T10:33:39"/>
    <d v="1899-12-30T17:05:00"/>
    <m/>
    <m/>
    <n v="36.987000000000002"/>
    <m/>
    <s v="6:31:21"/>
    <n v="7.3099999999999997E-3"/>
    <n v="36.979690000000005"/>
    <m/>
    <n v="36.979690000000005"/>
  </r>
  <r>
    <n v="87"/>
    <s v="CRUS426"/>
    <s v="CRUS360"/>
    <x v="0"/>
    <s v="Russel Island"/>
    <d v="2023-02-16T00:00:00"/>
    <d v="2023-06-06T00:00:00"/>
    <n v="110"/>
    <s v="blue"/>
    <x v="0"/>
    <n v="340"/>
    <n v="2"/>
    <n v="6"/>
    <n v="4"/>
    <n v="31.7"/>
    <n v="1.2327999999999999"/>
    <d v="1899-12-30T10:33:39"/>
    <d v="1899-12-30T17:05:00"/>
    <m/>
    <m/>
    <n v="36.987000000000002"/>
    <m/>
    <s v="6:31:21"/>
    <n v="7.3099999999999997E-3"/>
    <n v="36.979690000000005"/>
    <m/>
    <n v="36.979690000000005"/>
  </r>
  <r>
    <n v="87"/>
    <s v="CRUS426"/>
    <s v="CRUS360"/>
    <x v="0"/>
    <s v="Russel Island"/>
    <d v="2023-02-16T00:00:00"/>
    <d v="2023-06-06T00:00:00"/>
    <n v="110"/>
    <s v="blue"/>
    <x v="0"/>
    <n v="340"/>
    <n v="2"/>
    <n v="6"/>
    <n v="1"/>
    <n v="33.130000000000003"/>
    <n v="1.3884000000000001"/>
    <d v="1899-12-30T10:33:39"/>
    <d v="1899-12-30T17:05:00"/>
    <m/>
    <m/>
    <n v="36.987000000000002"/>
    <m/>
    <s v="6:31:21"/>
    <n v="7.3099999999999997E-3"/>
    <n v="36.979690000000005"/>
    <m/>
    <n v="36.979690000000005"/>
  </r>
  <r>
    <n v="107"/>
    <s v="CPRE521"/>
    <s v="CPRE524"/>
    <x v="0"/>
    <s v="Pretty Patches"/>
    <d v="2023-03-05T00:00:00"/>
    <d v="2023-07-11T00:00:00"/>
    <n v="128"/>
    <s v="na"/>
    <x v="0"/>
    <n v="141"/>
    <n v="2"/>
    <s v="na"/>
    <s v="na"/>
    <n v="33.700000000000003"/>
    <n v="1.4097"/>
    <d v="1899-12-30T13:18:00"/>
    <d v="1899-12-30T19:23:00"/>
    <s v="na"/>
    <s v="na"/>
    <s v="na"/>
    <s v="na"/>
    <s v="6:05:00"/>
    <s v="na"/>
    <s v="na"/>
    <s v="na"/>
    <n v="36.979999999999997"/>
  </r>
  <r>
    <n v="120"/>
    <s v="CPRE550"/>
    <s v="CPRE533"/>
    <x v="0"/>
    <s v="Pretty Patches"/>
    <d v="2023-03-21T00:00:00"/>
    <d v="2023-07-07T00:00:00"/>
    <n v="108"/>
    <s v="na"/>
    <x v="2"/>
    <n v="326"/>
    <n v="2"/>
    <s v="na"/>
    <s v="na"/>
    <n v="30.86"/>
    <n v="1.0806"/>
    <d v="1899-12-30T13:08:13"/>
    <d v="1899-12-30T19:07:00"/>
    <s v="na"/>
    <s v="na"/>
    <s v="na"/>
    <s v="na"/>
    <s v="5:58:47"/>
    <s v="na"/>
    <s v="na"/>
    <s v="na"/>
    <n v="36.979999999999997"/>
  </r>
  <r>
    <n v="65"/>
    <s v="LSBI028"/>
    <s v="LSBI027"/>
    <x v="1"/>
    <s v="St. Bee's Island"/>
    <d v="2023-01-27T00:00:00"/>
    <d v="2023-06-09T00:00:00"/>
    <n v="133"/>
    <s v="blue"/>
    <x v="0"/>
    <n v="147"/>
    <n v="1"/>
    <n v="3"/>
    <n v="1"/>
    <n v="35.15"/>
    <n v="1.7949999999999999"/>
    <d v="1899-12-30T11:33:47"/>
    <d v="1899-12-30T17:40:00"/>
    <n v="36.997999999999998"/>
    <n v="36.9"/>
    <n v="37.095999999999997"/>
    <n v="0.19599999999999795"/>
    <s v="6:06:13"/>
    <n v="3.3820000000000003E-2"/>
    <n v="37.062179999999998"/>
    <n v="0.16217999999999932"/>
    <n v="36.981089999999995"/>
  </r>
  <r>
    <n v="87"/>
    <s v="CRUS426"/>
    <s v="CRUS360"/>
    <x v="0"/>
    <s v="Russel Island"/>
    <d v="2023-02-16T00:00:00"/>
    <d v="2023-06-09T00:00:00"/>
    <n v="113"/>
    <s v="blue"/>
    <x v="0"/>
    <n v="143"/>
    <n v="1"/>
    <n v="2"/>
    <n v="4"/>
    <n v="28.52"/>
    <n v="0.95099999999999996"/>
    <d v="1899-12-30T11:33:47"/>
    <d v="1899-12-30T17:34:00"/>
    <n v="37.021000000000001"/>
    <n v="37"/>
    <n v="37.042000000000002"/>
    <n v="4.2000000000001592E-2"/>
    <s v="6:00:13"/>
    <n v="7.5999999999999998E-2"/>
    <n v="36.966000000000001"/>
    <n v="-3.399999999999892E-2"/>
    <n v="36.983000000000004"/>
  </r>
  <r>
    <n v="87"/>
    <s v="CRUS426"/>
    <s v="CRUS360"/>
    <x v="0"/>
    <s v="Russel Island"/>
    <d v="2023-02-16T00:00:00"/>
    <d v="2023-06-09T00:00:00"/>
    <n v="113"/>
    <s v="blue"/>
    <x v="0"/>
    <n v="143"/>
    <n v="1"/>
    <n v="2"/>
    <n v="3"/>
    <n v="28.73"/>
    <n v="1.0214000000000001"/>
    <d v="1899-12-30T11:33:47"/>
    <d v="1899-12-30T17:33:00"/>
    <n v="37.021000000000001"/>
    <n v="37"/>
    <n v="37.042000000000002"/>
    <n v="4.2000000000001592E-2"/>
    <s v="5:59:13"/>
    <n v="7.5999999999999998E-2"/>
    <n v="36.966000000000001"/>
    <n v="-3.399999999999892E-2"/>
    <n v="36.983000000000004"/>
  </r>
  <r>
    <n v="87"/>
    <s v="CRUS426"/>
    <s v="CRUS360"/>
    <x v="0"/>
    <s v="Russel Island"/>
    <d v="2023-02-16T00:00:00"/>
    <d v="2023-06-09T00:00:00"/>
    <n v="113"/>
    <s v="blue"/>
    <x v="0"/>
    <n v="143"/>
    <n v="1"/>
    <n v="2"/>
    <n v="2"/>
    <n v="29.89"/>
    <n v="1.0515000000000001"/>
    <d v="1899-12-30T11:33:47"/>
    <d v="1899-12-30T17:33:00"/>
    <n v="37.021000000000001"/>
    <n v="37"/>
    <n v="37.042000000000002"/>
    <n v="4.2000000000001592E-2"/>
    <s v="5:59:13"/>
    <n v="7.5999999999999998E-2"/>
    <n v="36.966000000000001"/>
    <n v="-3.399999999999892E-2"/>
    <n v="36.983000000000004"/>
  </r>
  <r>
    <n v="87"/>
    <s v="CRUS426"/>
    <s v="CRUS360"/>
    <x v="0"/>
    <s v="Russel Island"/>
    <d v="2023-02-16T00:00:00"/>
    <d v="2023-06-09T00:00:00"/>
    <n v="113"/>
    <s v="white"/>
    <x v="1"/>
    <n v="150"/>
    <n v="1"/>
    <n v="2"/>
    <n v="1"/>
    <n v="24.87"/>
    <n v="0.57899999999999996"/>
    <d v="1899-12-30T11:33:47"/>
    <d v="1899-12-30T17:33:00"/>
    <n v="37.021000000000001"/>
    <n v="37"/>
    <n v="37.042000000000002"/>
    <n v="4.2000000000001592E-2"/>
    <s v="5:59:13"/>
    <n v="7.5999999999999998E-2"/>
    <n v="36.966000000000001"/>
    <n v="-3.399999999999892E-2"/>
    <n v="36.983000000000004"/>
  </r>
  <r>
    <n v="96"/>
    <s v="CARL338"/>
    <s v="CARL345"/>
    <x v="0"/>
    <s v="Arlington Reef"/>
    <d v="2023-02-23T00:00:00"/>
    <d v="2023-07-12T00:00:00"/>
    <n v="139"/>
    <s v="red"/>
    <x v="0"/>
    <n v="238"/>
    <n v="2"/>
    <n v="6"/>
    <n v="2"/>
    <n v="38.200000000000003"/>
    <n v="2.2029000000000001"/>
    <d v="1899-12-30T12:13:52"/>
    <d v="1899-12-30T18:20:00"/>
    <m/>
    <n v="37"/>
    <n v="36.987000000000002"/>
    <n v="-1.2999999999998124E-2"/>
    <s v="6:06:08"/>
    <n v="0.01"/>
    <n v="36.977000000000004"/>
    <n v="-2.2999999999996135E-2"/>
    <n v="36.988500000000002"/>
  </r>
  <r>
    <n v="96"/>
    <s v="CARL338"/>
    <s v="CARL345"/>
    <x v="0"/>
    <s v="Arlington Reef"/>
    <d v="2023-02-23T00:00:00"/>
    <d v="2023-07-12T00:00:00"/>
    <n v="139"/>
    <s v="white"/>
    <x v="1"/>
    <n v="233"/>
    <n v="2"/>
    <n v="6"/>
    <n v="2"/>
    <n v="26.36"/>
    <n v="0.75970000000000004"/>
    <d v="1899-12-30T12:13:52"/>
    <d v="1899-12-30T18:20:00"/>
    <m/>
    <n v="37"/>
    <n v="36.987000000000002"/>
    <n v="-1.2999999999998124E-2"/>
    <s v="6:06:08"/>
    <n v="0.01"/>
    <n v="36.977000000000004"/>
    <n v="-2.2999999999996135E-2"/>
    <n v="36.988500000000002"/>
  </r>
  <r>
    <n v="96"/>
    <s v="CARL338"/>
    <s v="CARL345"/>
    <x v="0"/>
    <s v="Arlington Reef"/>
    <d v="2023-02-23T00:00:00"/>
    <d v="2023-07-12T00:00:00"/>
    <n v="139"/>
    <s v="white"/>
    <x v="1"/>
    <n v="233"/>
    <n v="2"/>
    <n v="6"/>
    <n v="3"/>
    <n v="34.44"/>
    <n v="1.5989"/>
    <d v="1899-12-30T12:13:52"/>
    <d v="1899-12-30T18:20:00"/>
    <m/>
    <n v="37"/>
    <n v="36.987000000000002"/>
    <n v="-1.2999999999998124E-2"/>
    <s v="6:06:08"/>
    <n v="0.01"/>
    <n v="36.977000000000004"/>
    <n v="-2.2999999999996135E-2"/>
    <n v="36.988500000000002"/>
  </r>
  <r>
    <n v="101"/>
    <s v="LSBI028"/>
    <s v="LSBI027"/>
    <x v="1"/>
    <s v="St. Bee's Island"/>
    <d v="2023-02-25T00:00:00"/>
    <d v="2023-07-12T00:00:00"/>
    <n v="137"/>
    <s v="blue"/>
    <x v="2"/>
    <n v="226"/>
    <n v="2"/>
    <n v="3"/>
    <n v="5"/>
    <n v="28.22"/>
    <n v="0.84889999999999999"/>
    <d v="1899-12-30T12:13:52"/>
    <d v="1899-12-30T18:17:00"/>
    <m/>
    <m/>
    <n v="37.069000000000003"/>
    <m/>
    <s v="6:03:08"/>
    <n v="8.0199999999999994E-2"/>
    <n v="36.988800000000005"/>
    <m/>
    <n v="36.988800000000005"/>
  </r>
  <r>
    <n v="74"/>
    <s v="LSBI023"/>
    <s v="LCHA118"/>
    <x v="1"/>
    <s v="Chauvel Reef/St. Bee's Island"/>
    <d v="2023-02-01T00:00:00"/>
    <d v="2023-06-10T00:00:00"/>
    <n v="129"/>
    <s v="na"/>
    <x v="2"/>
    <n v="227"/>
    <n v="1"/>
    <s v="na"/>
    <s v="na"/>
    <n v="29.61"/>
    <n v="0.96279999999999999"/>
    <d v="1899-12-30T12:15:00"/>
    <d v="1899-12-30T18:15:00"/>
    <s v="na"/>
    <s v="na"/>
    <s v="na"/>
    <s v="na"/>
    <s v="6:00:00"/>
    <s v="na"/>
    <s v="na"/>
    <s v="na"/>
    <n v="36.99"/>
  </r>
  <r>
    <n v="107"/>
    <s v="CPRE521"/>
    <s v="CPRE524"/>
    <x v="0"/>
    <s v="Pretty Patches"/>
    <d v="2023-03-05T00:00:00"/>
    <d v="2023-07-11T00:00:00"/>
    <n v="128"/>
    <s v="na"/>
    <x v="0"/>
    <n v="141"/>
    <n v="2"/>
    <s v="na"/>
    <s v="na"/>
    <n v="32.090000000000003"/>
    <n v="1.3202"/>
    <d v="1899-12-30T13:18:00"/>
    <d v="1899-12-30T19:26:00"/>
    <s v="na"/>
    <s v="na"/>
    <s v="na"/>
    <s v="na"/>
    <s v="6:08:00"/>
    <s v="na"/>
    <s v="na"/>
    <s v="na"/>
    <n v="36.99"/>
  </r>
  <r>
    <n v="107"/>
    <s v="CPRE521"/>
    <s v="CPRE524"/>
    <x v="0"/>
    <s v="Pretty Patches"/>
    <d v="2023-03-05T00:00:00"/>
    <d v="2023-07-11T00:00:00"/>
    <n v="128"/>
    <s v="na"/>
    <x v="2"/>
    <n v="123"/>
    <n v="2"/>
    <s v="na"/>
    <s v="na"/>
    <n v="34.72"/>
    <n v="1.7571000000000001"/>
    <d v="1899-12-30T13:18:00"/>
    <d v="1899-12-30T19:26:00"/>
    <s v="na"/>
    <s v="na"/>
    <s v="na"/>
    <s v="na"/>
    <s v="6:08:00"/>
    <s v="na"/>
    <s v="na"/>
    <s v="na"/>
    <n v="36.99"/>
  </r>
  <r>
    <n v="96"/>
    <s v="CARL338"/>
    <s v="CARL345"/>
    <x v="0"/>
    <s v="Arlington Reef"/>
    <d v="2023-02-23T00:00:00"/>
    <d v="2023-07-06T00:00:00"/>
    <n v="133"/>
    <s v="red"/>
    <x v="1"/>
    <n v="250"/>
    <n v="1"/>
    <n v="6"/>
    <n v="4"/>
    <n v="27.7"/>
    <n v="0.83069999999999999"/>
    <d v="1899-12-30T11:43:22"/>
    <d v="1899-12-30T17:42:00"/>
    <m/>
    <n v="37"/>
    <n v="36.987000000000002"/>
    <n v="-1.2999999999998124E-2"/>
    <s v="5:58:38"/>
    <n v="7.6999999999999996E-4"/>
    <n v="36.986229999999999"/>
    <n v="-1.3770000000000948E-2"/>
    <n v="36.993115000000003"/>
  </r>
  <r>
    <n v="65"/>
    <s v="LSBI028"/>
    <s v="LSBI027"/>
    <x v="1"/>
    <s v="St. Bee's Island"/>
    <d v="2023-01-27T00:00:00"/>
    <d v="2023-06-09T00:00:00"/>
    <n v="133"/>
    <s v="white"/>
    <x v="1"/>
    <n v="232"/>
    <n v="1"/>
    <n v="3"/>
    <n v="3"/>
    <n v="33.82"/>
    <n v="1.4905999999999999"/>
    <d v="1899-12-30T11:33:47"/>
    <d v="1899-12-30T17:41:00"/>
    <n v="37.012"/>
    <n v="36.9"/>
    <n v="37.124000000000002"/>
    <n v="0.22400000000000375"/>
    <s v="6:07:13"/>
    <n v="3.3820000000000003E-2"/>
    <n v="37.090180000000004"/>
    <n v="0.19018000000000512"/>
    <n v="36.995090000000005"/>
  </r>
  <r>
    <n v="108"/>
    <s v="CARL369"/>
    <s v="CARL349"/>
    <x v="0"/>
    <s v="Arlington Reef"/>
    <d v="2023-03-05T00:00:00"/>
    <d v="2023-07-06T00:00:00"/>
    <n v="123"/>
    <s v="red"/>
    <x v="1"/>
    <n v="354"/>
    <n v="1"/>
    <n v="4"/>
    <n v="3"/>
    <n v="31.16"/>
    <n v="1.2505999999999999"/>
    <d v="1899-12-30T11:43:22"/>
    <d v="1899-12-30T17:44:00"/>
    <m/>
    <n v="36.950000000000003"/>
    <n v="37.015000000000001"/>
    <n v="6.4999999999997726E-2"/>
    <s v="6:00:38"/>
    <n v="-2.92E-2"/>
    <n v="37.044200000000004"/>
    <n v="9.4200000000000728E-2"/>
    <n v="36.997100000000003"/>
  </r>
  <r>
    <n v="56"/>
    <s v="CARL217"/>
    <s v="CARL226"/>
    <x v="0"/>
    <s v="Arlington Reef"/>
    <d v="2023-01-12T00:00:00"/>
    <d v="2023-06-01T00:00:00"/>
    <n v="140"/>
    <s v="red"/>
    <x v="0"/>
    <n v="137"/>
    <n v="2"/>
    <n v="4"/>
    <n v="5"/>
    <n v="32.49"/>
    <n v="1.2557"/>
    <d v="1899-12-30T12:17:20"/>
    <d v="1899-12-30T18:26:00"/>
    <n v="37"/>
    <n v="37"/>
    <s v="na"/>
    <m/>
    <s v="6:08:40"/>
    <s v="na"/>
    <s v="na"/>
    <s v="na"/>
    <n v="37"/>
  </r>
  <r>
    <n v="56"/>
    <s v="CARL217"/>
    <s v="CARL226"/>
    <x v="0"/>
    <s v="Arlington Reef"/>
    <d v="2023-01-12T00:00:00"/>
    <d v="2023-06-01T00:00:00"/>
    <n v="140"/>
    <s v="red"/>
    <x v="0"/>
    <n v="137"/>
    <n v="2"/>
    <n v="4"/>
    <n v="2"/>
    <n v="38.75"/>
    <n v="1.9398"/>
    <d v="1899-12-30T12:17:20"/>
    <d v="1899-12-30T18:26:00"/>
    <n v="37"/>
    <n v="37"/>
    <s v="na"/>
    <m/>
    <s v="6:08:40"/>
    <s v="na"/>
    <s v="na"/>
    <s v="na"/>
    <n v="37"/>
  </r>
  <r>
    <n v="60"/>
    <s v="LCKM159"/>
    <s v="LCKM155"/>
    <x v="1"/>
    <s v="Cockermouth Island"/>
    <d v="2023-01-17T00:00:00"/>
    <d v="2023-06-01T00:00:00"/>
    <n v="135"/>
    <s v="red"/>
    <x v="0"/>
    <n v="337"/>
    <n v="2"/>
    <n v="6"/>
    <n v="3"/>
    <n v="33.14"/>
    <n v="1.3259000000000001"/>
    <d v="1899-12-30T12:17:20"/>
    <d v="1899-12-30T18:19:00"/>
    <n v="37"/>
    <n v="37"/>
    <s v="na"/>
    <m/>
    <s v="6:01:40"/>
    <s v="na"/>
    <s v="na"/>
    <s v="na"/>
    <n v="37"/>
  </r>
  <r>
    <n v="60"/>
    <s v="LCKM159"/>
    <s v="LCKM155"/>
    <x v="1"/>
    <s v="Cockermouth Island"/>
    <d v="2023-01-17T00:00:00"/>
    <d v="2023-06-01T00:00:00"/>
    <n v="135"/>
    <s v="red"/>
    <x v="0"/>
    <n v="337"/>
    <n v="2"/>
    <n v="6"/>
    <n v="5"/>
    <n v="32.96"/>
    <n v="1.3392999999999999"/>
    <d v="1899-12-30T12:17:20"/>
    <d v="1899-12-30T18:22:00"/>
    <n v="37"/>
    <n v="37"/>
    <s v="na"/>
    <m/>
    <s v="6:04:40"/>
    <s v="na"/>
    <s v="na"/>
    <s v="na"/>
    <n v="37"/>
  </r>
  <r>
    <n v="60"/>
    <s v="LCKM159"/>
    <s v="LCKM155"/>
    <x v="1"/>
    <s v="Cockermouth Island"/>
    <d v="2023-01-17T00:00:00"/>
    <d v="2023-06-01T00:00:00"/>
    <n v="135"/>
    <s v="red"/>
    <x v="0"/>
    <n v="337"/>
    <n v="2"/>
    <n v="6"/>
    <n v="2"/>
    <n v="34.06"/>
    <n v="1.4123000000000001"/>
    <d v="1899-12-30T12:17:20"/>
    <d v="1899-12-30T18:20:00"/>
    <n v="37"/>
    <n v="37"/>
    <s v="na"/>
    <m/>
    <s v="6:02:40"/>
    <s v="na"/>
    <s v="na"/>
    <s v="na"/>
    <n v="37"/>
  </r>
  <r>
    <n v="60"/>
    <s v="LCKM159"/>
    <s v="LCKM155"/>
    <x v="1"/>
    <s v="Cockermouth Island"/>
    <d v="2023-01-17T00:00:00"/>
    <d v="2023-06-01T00:00:00"/>
    <n v="135"/>
    <s v="red"/>
    <x v="0"/>
    <n v="337"/>
    <n v="2"/>
    <n v="6"/>
    <n v="1"/>
    <n v="37.659999999999997"/>
    <n v="1.6032"/>
    <d v="1899-12-30T12:17:20"/>
    <d v="1899-12-30T18:20:00"/>
    <n v="37"/>
    <n v="37"/>
    <s v="na"/>
    <m/>
    <s v="6:02:40"/>
    <s v="na"/>
    <s v="na"/>
    <s v="na"/>
    <n v="37"/>
  </r>
  <r>
    <n v="60"/>
    <s v="LCKM159"/>
    <s v="LCKM155"/>
    <x v="1"/>
    <s v="Cockermouth Island"/>
    <d v="2023-01-17T00:00:00"/>
    <d v="2023-06-01T00:00:00"/>
    <n v="135"/>
    <s v="white"/>
    <x v="1"/>
    <n v="152"/>
    <n v="1"/>
    <n v="6"/>
    <n v="5"/>
    <n v="26.52"/>
    <n v="0.71899999999999997"/>
    <d v="1899-12-30T12:17:20"/>
    <d v="1899-12-30T18:22:00"/>
    <n v="37"/>
    <n v="37"/>
    <s v="na"/>
    <m/>
    <s v="6:04:40"/>
    <s v="na"/>
    <s v="na"/>
    <s v="na"/>
    <n v="37"/>
  </r>
  <r>
    <n v="69"/>
    <s v="LCKM164"/>
    <s v="LCKM156"/>
    <x v="1"/>
    <s v="Cockermouth Island"/>
    <d v="2023-01-30T00:00:00"/>
    <d v="2023-06-11T00:00:00"/>
    <n v="132"/>
    <s v="na"/>
    <x v="2"/>
    <n v="259"/>
    <n v="1"/>
    <s v="na"/>
    <s v="na"/>
    <n v="30.68"/>
    <n v="1.0899000000000001"/>
    <d v="1899-12-30T13:01:00"/>
    <d v="1899-12-30T19:06:00"/>
    <s v="na"/>
    <s v="na"/>
    <s v="na"/>
    <s v="na"/>
    <s v="6:05:0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red"/>
    <x v="0"/>
    <n v="241"/>
    <n v="1"/>
    <n v="1"/>
    <n v="1"/>
    <n v="30.92"/>
    <n v="0.95820000000000005"/>
    <d v="1899-12-30T12:17:20"/>
    <d v="1899-12-30T18:23:00"/>
    <n v="37"/>
    <n v="37"/>
    <s v="na"/>
    <m/>
    <s v="6:05:4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red"/>
    <x v="0"/>
    <n v="241"/>
    <n v="1"/>
    <n v="1"/>
    <n v="3"/>
    <n v="31.62"/>
    <n v="0.96240000000000003"/>
    <d v="1899-12-30T12:17:20"/>
    <d v="1899-12-30T18:23:00"/>
    <n v="37"/>
    <n v="37"/>
    <s v="na"/>
    <m/>
    <s v="6:05:4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red"/>
    <x v="0"/>
    <n v="241"/>
    <n v="1"/>
    <n v="1"/>
    <n v="5"/>
    <n v="32.14"/>
    <n v="1.2015"/>
    <d v="1899-12-30T12:17:20"/>
    <d v="1899-12-30T18:22:00"/>
    <n v="37"/>
    <n v="37"/>
    <s v="na"/>
    <m/>
    <s v="6:04:4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red"/>
    <x v="0"/>
    <n v="241"/>
    <n v="1"/>
    <n v="1"/>
    <n v="2"/>
    <n v="36.42"/>
    <n v="1.64"/>
    <d v="1899-12-30T12:17:20"/>
    <d v="1899-12-30T18:23:00"/>
    <n v="37"/>
    <n v="37"/>
    <s v="na"/>
    <m/>
    <s v="6:05:40"/>
    <s v="na"/>
    <s v="na"/>
    <s v="na"/>
    <n v="37"/>
  </r>
  <r>
    <n v="74"/>
    <s v="LSBI023"/>
    <s v="LCHA118"/>
    <x v="1"/>
    <s v="Chauvel Reef/St. Bee's Island"/>
    <d v="2023-02-01T00:00:00"/>
    <d v="2023-06-16T00:00:00"/>
    <n v="135"/>
    <s v="na"/>
    <x v="0"/>
    <n v="144"/>
    <n v="1"/>
    <s v="na"/>
    <s v="na"/>
    <n v="42.43"/>
    <n v="2.9238"/>
    <d v="1899-12-30T12:00:00"/>
    <d v="1899-12-30T17:59:00"/>
    <s v="na"/>
    <s v="na"/>
    <s v="na"/>
    <s v="na"/>
    <s v="5:59:0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white"/>
    <x v="1"/>
    <n v="230"/>
    <n v="1"/>
    <n v="1"/>
    <n v="1"/>
    <n v="34.450000000000003"/>
    <n v="1.3347"/>
    <d v="1899-12-30T12:17:20"/>
    <d v="1899-12-30T18:23:00"/>
    <n v="37"/>
    <n v="37"/>
    <s v="na"/>
    <m/>
    <s v="6:05:4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white"/>
    <x v="1"/>
    <n v="230"/>
    <n v="1"/>
    <n v="1"/>
    <n v="3"/>
    <n v="33.22"/>
    <n v="1.3889"/>
    <d v="1899-12-30T12:17:20"/>
    <d v="1899-12-30T18:22:00"/>
    <n v="37"/>
    <n v="37"/>
    <s v="na"/>
    <m/>
    <s v="6:04:40"/>
    <s v="na"/>
    <s v="na"/>
    <s v="na"/>
    <n v="37"/>
  </r>
  <r>
    <n v="74"/>
    <s v="LSBI023"/>
    <s v="LCHA118"/>
    <x v="1"/>
    <s v="Chauvel Reef/St. Bee's Island"/>
    <d v="2023-02-01T00:00:00"/>
    <d v="2023-06-01T00:00:00"/>
    <n v="120"/>
    <s v="white"/>
    <x v="1"/>
    <n v="230"/>
    <n v="1"/>
    <n v="1"/>
    <n v="4"/>
    <n v="35.950000000000003"/>
    <n v="1.6527000000000001"/>
    <d v="1899-12-30T12:17:20"/>
    <d v="1899-12-30T18:22:00"/>
    <n v="37"/>
    <n v="37"/>
    <s v="na"/>
    <m/>
    <s v="6:04:40"/>
    <s v="na"/>
    <s v="na"/>
    <s v="na"/>
    <n v="37"/>
  </r>
  <r>
    <n v="101"/>
    <s v="LSBI028"/>
    <s v="LSBI027"/>
    <x v="1"/>
    <s v="St. Bee's Island"/>
    <d v="2023-02-25T00:00:00"/>
    <d v="2023-07-13T00:00:00"/>
    <n v="138"/>
    <s v="na"/>
    <x v="2"/>
    <n v="226"/>
    <n v="2"/>
    <s v="na"/>
    <s v="na"/>
    <n v="45.93"/>
    <n v="4.6508000000000003"/>
    <d v="1899-12-30T11:45:00"/>
    <d v="1899-12-30T17:51:00"/>
    <s v="na"/>
    <s v="na"/>
    <s v="na"/>
    <s v="na"/>
    <s v="6:06:00"/>
    <s v="na"/>
    <s v="na"/>
    <s v="na"/>
    <n v="37"/>
  </r>
  <r>
    <n v="120"/>
    <s v="CPRE550"/>
    <s v="CPRE533"/>
    <x v="0"/>
    <s v="Pretty Patches"/>
    <d v="2023-03-21T00:00:00"/>
    <d v="2023-07-12T00:00:00"/>
    <n v="113"/>
    <s v="na"/>
    <x v="2"/>
    <n v="326"/>
    <n v="2"/>
    <s v="na"/>
    <s v="na"/>
    <n v="31.93"/>
    <n v="1.2178"/>
    <d v="1899-12-30T12:13:52"/>
    <d v="1899-12-30T18:16:00"/>
    <s v="na"/>
    <s v="na"/>
    <s v="na"/>
    <s v="na"/>
    <s v="6:02:08"/>
    <s v="na"/>
    <s v="na"/>
    <s v="na"/>
    <n v="37"/>
  </r>
  <r>
    <n v="101"/>
    <s v="LSBI028"/>
    <s v="LSBI027"/>
    <x v="1"/>
    <s v="St. Bee's Island"/>
    <d v="2023-02-25T00:00:00"/>
    <d v="2023-07-13T00:00:00"/>
    <n v="138"/>
    <s v="blue"/>
    <x v="0"/>
    <n v="339"/>
    <n v="1"/>
    <n v="1"/>
    <n v="1"/>
    <n v="33.340000000000003"/>
    <n v="1.3782000000000001"/>
    <d v="1899-12-30T11:50:15"/>
    <d v="1899-12-30T17:52:00"/>
    <m/>
    <m/>
    <n v="37.069000000000003"/>
    <m/>
    <s v="6:01:45"/>
    <n v="6.8000000000000005E-2"/>
    <n v="37.001000000000005"/>
    <m/>
    <n v="37.001000000000005"/>
  </r>
  <r>
    <n v="101"/>
    <s v="LSBI028"/>
    <s v="LSBI027"/>
    <x v="1"/>
    <s v="St. Bee's Island"/>
    <d v="2023-02-25T00:00:00"/>
    <d v="2023-07-13T00:00:00"/>
    <n v="138"/>
    <s v="white"/>
    <x v="1"/>
    <n v="135"/>
    <n v="2"/>
    <n v="1"/>
    <n v="4"/>
    <n v="32.57"/>
    <n v="1.3083"/>
    <d v="1899-12-30T11:50:15"/>
    <d v="1899-12-30T17:52:00"/>
    <m/>
    <m/>
    <n v="37.069000000000003"/>
    <m/>
    <s v="6:01:45"/>
    <n v="6.8000000000000005E-2"/>
    <n v="37.001000000000005"/>
    <m/>
    <n v="37.001000000000005"/>
  </r>
  <r>
    <n v="101"/>
    <s v="LSBI028"/>
    <s v="LSBI027"/>
    <x v="1"/>
    <s v="St. Bee's Island"/>
    <d v="2023-02-25T00:00:00"/>
    <d v="2023-07-13T00:00:00"/>
    <n v="138"/>
    <s v="red"/>
    <x v="2"/>
    <n v="160"/>
    <n v="2"/>
    <n v="1"/>
    <n v="1"/>
    <n v="23.53"/>
    <n v="1.4440999999999999"/>
    <d v="1899-12-30T11:50:15"/>
    <d v="1899-12-30T17:52:00"/>
    <m/>
    <m/>
    <n v="37.069000000000003"/>
    <m/>
    <s v="6:01:45"/>
    <n v="6.8000000000000005E-2"/>
    <n v="37.001000000000005"/>
    <m/>
    <n v="37.001000000000005"/>
  </r>
  <r>
    <n v="99"/>
    <s v="CARL335"/>
    <s v="CARL359"/>
    <x v="0"/>
    <s v="Arlington Reef"/>
    <d v="2023-02-23T00:00:00"/>
    <d v="2023-07-06T00:00:00"/>
    <n v="133"/>
    <s v="red"/>
    <x v="1"/>
    <n v="234"/>
    <n v="1"/>
    <n v="2"/>
    <n v="3"/>
    <n v="26.9"/>
    <n v="0.80210000000000004"/>
    <d v="1899-12-30T11:43:22"/>
    <d v="1899-12-30T19:02:00"/>
    <m/>
    <n v="37"/>
    <n v="37.015000000000001"/>
    <n v="1.5000000000000568E-2"/>
    <s v="7:18:38"/>
    <n v="0.01"/>
    <n v="37.005000000000003"/>
    <n v="5.000000000002558E-3"/>
    <n v="37.002499999999998"/>
  </r>
  <r>
    <n v="99"/>
    <s v="CARL335"/>
    <s v="CARL359"/>
    <x v="0"/>
    <s v="Arlington Reef"/>
    <d v="2023-02-23T00:00:00"/>
    <d v="2023-07-06T00:00:00"/>
    <n v="133"/>
    <s v="red"/>
    <x v="1"/>
    <n v="234"/>
    <n v="1"/>
    <n v="2"/>
    <n v="2"/>
    <n v="36.1"/>
    <n v="1.4685999999999999"/>
    <d v="1899-12-30T11:43:22"/>
    <d v="1899-12-30T19:02:00"/>
    <m/>
    <n v="37"/>
    <n v="37.015000000000001"/>
    <n v="1.5000000000000568E-2"/>
    <s v="7:18:38"/>
    <n v="0.01"/>
    <n v="37.005000000000003"/>
    <n v="5.000000000002558E-3"/>
    <n v="37.002499999999998"/>
  </r>
  <r>
    <n v="90"/>
    <s v="CSAT265"/>
    <s v="CSAT264"/>
    <x v="0"/>
    <s v="Satellite Reef"/>
    <d v="2023-02-20T00:00:00"/>
    <d v="2023-07-12T00:00:00"/>
    <n v="142"/>
    <s v="white"/>
    <x v="1"/>
    <n v="252"/>
    <n v="1"/>
    <n v="5"/>
    <n v="1"/>
    <n v="31.66"/>
    <n v="1.3145"/>
    <d v="1899-12-30T12:13:52"/>
    <d v="1899-12-30T18:21:00"/>
    <m/>
    <n v="37"/>
    <n v="37.124000000000002"/>
    <n v="0.12400000000000233"/>
    <s v="6:07:08"/>
    <n v="0.111"/>
    <n v="37.013000000000005"/>
    <n v="1.300000000000523E-2"/>
    <n v="37.006500000000003"/>
  </r>
  <r>
    <n v="90"/>
    <s v="CSAT265"/>
    <s v="CSAT264"/>
    <x v="0"/>
    <s v="Satellite Reef"/>
    <d v="2023-02-20T00:00:00"/>
    <d v="2023-07-12T00:00:00"/>
    <n v="142"/>
    <s v="white"/>
    <x v="1"/>
    <n v="252"/>
    <n v="1"/>
    <n v="5"/>
    <n v="5"/>
    <n v="31.65"/>
    <n v="1.4231"/>
    <d v="1899-12-30T12:13:52"/>
    <d v="1899-12-30T18:21:00"/>
    <m/>
    <n v="37"/>
    <n v="37.124000000000002"/>
    <n v="0.12400000000000233"/>
    <s v="6:07:08"/>
    <n v="0.111"/>
    <n v="37.013000000000005"/>
    <n v="1.300000000000523E-2"/>
    <n v="37.006500000000003"/>
  </r>
  <r>
    <n v="90"/>
    <s v="CSAT265"/>
    <s v="CSAT264"/>
    <x v="0"/>
    <s v="Satellite Reef"/>
    <d v="2023-02-20T00:00:00"/>
    <d v="2023-07-12T00:00:00"/>
    <n v="142"/>
    <s v="white"/>
    <x v="1"/>
    <n v="252"/>
    <n v="1"/>
    <n v="5"/>
    <n v="2"/>
    <n v="33.61"/>
    <n v="1.7434000000000001"/>
    <d v="1899-12-30T12:13:52"/>
    <d v="1899-12-30T18:21:00"/>
    <m/>
    <n v="37"/>
    <n v="37.124000000000002"/>
    <n v="0.12400000000000233"/>
    <s v="6:07:08"/>
    <n v="0.111"/>
    <n v="37.013000000000005"/>
    <n v="1.300000000000523E-2"/>
    <n v="37.006500000000003"/>
  </r>
  <r>
    <n v="87"/>
    <s v="CRUS426"/>
    <s v="CRUS360"/>
    <x v="0"/>
    <s v="Russel Island"/>
    <d v="2023-02-16T00:00:00"/>
    <d v="2023-06-09T00:00:00"/>
    <n v="113"/>
    <s v="blue"/>
    <x v="0"/>
    <n v="143"/>
    <n v="1"/>
    <n v="2"/>
    <n v="1"/>
    <n v="30.68"/>
    <n v="1.2204999999999999"/>
    <d v="1899-12-30T11:33:47"/>
    <d v="1899-12-30T17:37:00"/>
    <n v="37.048000000000002"/>
    <n v="37"/>
    <n v="37.095999999999997"/>
    <n v="9.5999999999996533E-2"/>
    <s v="6:03:13"/>
    <n v="7.5999999999999998E-2"/>
    <n v="37.019999999999996"/>
    <n v="1.9999999999996021E-2"/>
    <n v="37.01"/>
  </r>
  <r>
    <n v="87"/>
    <s v="CRUS426"/>
    <s v="CRUS360"/>
    <x v="0"/>
    <s v="Russel Island"/>
    <d v="2023-02-16T00:00:00"/>
    <d v="2023-06-09T00:00:00"/>
    <n v="113"/>
    <s v="white"/>
    <x v="1"/>
    <n v="150"/>
    <n v="1"/>
    <n v="2"/>
    <n v="2"/>
    <n v="36.89"/>
    <n v="2.0522999999999998"/>
    <d v="1899-12-30T11:33:47"/>
    <d v="1899-12-30T17:37:00"/>
    <n v="37.048000000000002"/>
    <n v="37"/>
    <n v="37.095999999999997"/>
    <n v="9.5999999999996533E-2"/>
    <s v="6:03:13"/>
    <n v="7.5999999999999998E-2"/>
    <n v="37.019999999999996"/>
    <n v="1.9999999999996021E-2"/>
    <n v="37.01"/>
  </r>
  <r>
    <n v="110"/>
    <s v="CPRE453"/>
    <s v="CPRE459"/>
    <x v="0"/>
    <s v="Pretty Patches"/>
    <d v="2023-03-07T00:00:00"/>
    <d v="2023-07-13T00:00:00"/>
    <n v="128"/>
    <s v="white"/>
    <x v="1"/>
    <n v="329"/>
    <n v="1"/>
    <n v="2"/>
    <n v="2"/>
    <n v="27.58"/>
    <n v="0.81469999999999998"/>
    <d v="1899-12-30T11:50:15"/>
    <d v="1899-12-30T17:47:00"/>
    <m/>
    <m/>
    <n v="37.015000000000001"/>
    <m/>
    <s v="5:56:45"/>
    <n v="0"/>
    <n v="37.015000000000001"/>
    <m/>
    <n v="37.015000000000001"/>
  </r>
  <r>
    <n v="108"/>
    <s v="CARL369"/>
    <s v="CARL349"/>
    <x v="0"/>
    <s v="Arlington Reef"/>
    <d v="2023-03-05T00:00:00"/>
    <d v="2023-07-13T00:00:00"/>
    <n v="130"/>
    <s v="white"/>
    <x v="1"/>
    <n v="330"/>
    <n v="2"/>
    <n v="3"/>
    <n v="1"/>
    <n v="34.549999999999997"/>
    <n v="1.7946"/>
    <d v="1899-12-30T11:50:15"/>
    <d v="1899-12-30T17:50:00"/>
    <m/>
    <m/>
    <n v="37.042000000000002"/>
    <m/>
    <s v="5:59:45"/>
    <n v="2.3E-2"/>
    <n v="37.018999999999998"/>
    <m/>
    <n v="37.018999999999998"/>
  </r>
  <r>
    <n v="69"/>
    <s v="LCKM164"/>
    <s v="LCKM156"/>
    <x v="1"/>
    <s v="Cockermouth Island"/>
    <d v="2023-01-30T00:00:00"/>
    <d v="2023-06-06T00:00:00"/>
    <n v="127"/>
    <s v="white"/>
    <x v="1"/>
    <n v="129"/>
    <n v="2"/>
    <n v="2"/>
    <n v="2"/>
    <n v="29.56"/>
    <n v="0.99429999999999996"/>
    <d v="1899-12-30T10:33:39"/>
    <d v="1899-12-30T17:11:00"/>
    <n v="37.095999999999997"/>
    <m/>
    <n v="37.095999999999997"/>
    <m/>
    <s v="6:37:21"/>
    <n v="7.6850000000000002E-2"/>
    <n v="37.019149999999996"/>
    <m/>
    <n v="37.019149999999996"/>
  </r>
  <r>
    <n v="69"/>
    <s v="LCKM164"/>
    <s v="LCKM156"/>
    <x v="1"/>
    <s v="Cockermouth Island"/>
    <d v="2023-01-30T00:00:00"/>
    <d v="2023-06-06T00:00:00"/>
    <n v="127"/>
    <s v="white"/>
    <x v="1"/>
    <n v="129"/>
    <n v="2"/>
    <n v="2"/>
    <n v="4"/>
    <n v="29.53"/>
    <n v="1.0643"/>
    <d v="1899-12-30T10:33:39"/>
    <d v="1899-12-30T17:11:00"/>
    <n v="37.095999999999997"/>
    <m/>
    <n v="37.095999999999997"/>
    <m/>
    <s v="6:37:21"/>
    <n v="7.6850000000000002E-2"/>
    <n v="37.019149999999996"/>
    <m/>
    <n v="37.019149999999996"/>
  </r>
  <r>
    <n v="69"/>
    <s v="LCKM164"/>
    <s v="LCKM156"/>
    <x v="1"/>
    <s v="Cockermouth Island"/>
    <d v="2023-01-30T00:00:00"/>
    <d v="2023-06-06T00:00:00"/>
    <n v="127"/>
    <s v="red"/>
    <x v="2"/>
    <n v="224"/>
    <n v="2"/>
    <n v="2"/>
    <n v="5"/>
    <n v="32.83"/>
    <n v="1.3371999999999999"/>
    <d v="1899-12-30T10:33:39"/>
    <d v="1899-12-30T17:11:00"/>
    <n v="37.095999999999997"/>
    <m/>
    <n v="37.095999999999997"/>
    <m/>
    <s v="6:37:21"/>
    <n v="7.6850000000000002E-2"/>
    <n v="37.019149999999996"/>
    <m/>
    <n v="37.019149999999996"/>
  </r>
  <r>
    <n v="69"/>
    <s v="LCKM164"/>
    <s v="LCKM156"/>
    <x v="1"/>
    <s v="Cockermouth Island"/>
    <d v="2023-01-30T00:00:00"/>
    <d v="2023-06-06T00:00:00"/>
    <n v="127"/>
    <s v="red"/>
    <x v="2"/>
    <n v="224"/>
    <n v="2"/>
    <n v="2"/>
    <n v="2"/>
    <n v="35.21"/>
    <n v="1.8164"/>
    <d v="1899-12-30T10:33:39"/>
    <d v="1899-12-30T17:11:00"/>
    <n v="37.095999999999997"/>
    <m/>
    <n v="37.095999999999997"/>
    <m/>
    <s v="6:37:21"/>
    <n v="7.6850000000000002E-2"/>
    <n v="37.019149999999996"/>
    <m/>
    <n v="37.019149999999996"/>
  </r>
  <r>
    <n v="75"/>
    <s v="LSBI034"/>
    <s v="LCHA120"/>
    <x v="1"/>
    <s v="Chauvel Reef/St. Bee's Island"/>
    <d v="2023-02-02T00:00:00"/>
    <d v="2023-06-06T00:00:00"/>
    <n v="124"/>
    <s v="red"/>
    <x v="2"/>
    <n v="127"/>
    <n v="2"/>
    <n v="3"/>
    <n v="1"/>
    <n v="25.44"/>
    <n v="0.64949999999999997"/>
    <d v="1899-12-30T10:33:39"/>
    <d v="1899-12-30T17:07:00"/>
    <n v="37.124000000000002"/>
    <m/>
    <n v="37.124000000000002"/>
    <m/>
    <s v="6:33:21"/>
    <n v="0.1047"/>
    <n v="37.019300000000001"/>
    <m/>
    <n v="37.019300000000001"/>
  </r>
  <r>
    <n v="75"/>
    <s v="LSBI034"/>
    <s v="LCHA120"/>
    <x v="1"/>
    <s v="Chauvel Reef/St. Bee's Island"/>
    <d v="2023-02-02T00:00:00"/>
    <d v="2023-06-06T00:00:00"/>
    <n v="124"/>
    <s v="red"/>
    <x v="2"/>
    <n v="127"/>
    <n v="2"/>
    <n v="3"/>
    <n v="4"/>
    <n v="27.45"/>
    <n v="0.83099999999999996"/>
    <d v="1899-12-30T10:33:39"/>
    <d v="1899-12-30T17:07:00"/>
    <n v="37.124000000000002"/>
    <m/>
    <n v="37.124000000000002"/>
    <m/>
    <s v="6:33:21"/>
    <n v="0.1047"/>
    <n v="37.019300000000001"/>
    <m/>
    <n v="37.019300000000001"/>
  </r>
  <r>
    <n v="75"/>
    <s v="LSBI034"/>
    <s v="LCHA120"/>
    <x v="1"/>
    <s v="Chauvel Reef/St. Bee's Island"/>
    <d v="2023-02-02T00:00:00"/>
    <d v="2023-06-06T00:00:00"/>
    <n v="124"/>
    <s v="red"/>
    <x v="2"/>
    <n v="127"/>
    <n v="2"/>
    <n v="3"/>
    <n v="2"/>
    <n v="28"/>
    <n v="0.87970000000000004"/>
    <d v="1899-12-30T10:33:39"/>
    <d v="1899-12-30T17:07:00"/>
    <n v="37.124000000000002"/>
    <m/>
    <n v="37.124000000000002"/>
    <m/>
    <s v="6:33:21"/>
    <n v="0.1047"/>
    <n v="37.019300000000001"/>
    <m/>
    <n v="37.019300000000001"/>
  </r>
  <r>
    <n v="75"/>
    <s v="LSBI034"/>
    <s v="LCHA120"/>
    <x v="1"/>
    <s v="Chauvel Reef/St. Bee's Island"/>
    <d v="2023-02-02T00:00:00"/>
    <d v="2023-06-06T00:00:00"/>
    <n v="124"/>
    <s v="red"/>
    <x v="2"/>
    <n v="127"/>
    <n v="2"/>
    <n v="3"/>
    <n v="3"/>
    <n v="30.12"/>
    <n v="1.1579999999999999"/>
    <d v="1899-12-30T10:33:39"/>
    <d v="1899-12-30T17:07:00"/>
    <n v="37.124000000000002"/>
    <m/>
    <n v="37.124000000000002"/>
    <m/>
    <s v="6:33:21"/>
    <n v="0.1047"/>
    <n v="37.019300000000001"/>
    <m/>
    <n v="37.019300000000001"/>
  </r>
  <r>
    <n v="60"/>
    <s v="LCKM159"/>
    <s v="LCKM155"/>
    <x v="1"/>
    <s v="Cockermouth Island"/>
    <d v="2023-01-17T00:00:00"/>
    <d v="2023-06-09T00:00:00"/>
    <n v="143"/>
    <s v="white"/>
    <x v="1"/>
    <n v="152"/>
    <n v="2"/>
    <n v="1"/>
    <n v="3"/>
    <n v="34.06"/>
    <n v="1.5832999999999999"/>
    <d v="1899-12-30T11:33:47"/>
    <d v="1899-12-30T17:37:00"/>
    <n v="37.034500000000001"/>
    <n v="37"/>
    <n v="37.069000000000003"/>
    <n v="6.9000000000002615E-2"/>
    <s v="6:03:13"/>
    <n v="2.9250000000000002E-2"/>
    <n v="37.039750000000005"/>
    <n v="3.9750000000005059E-2"/>
    <n v="37.019874999999999"/>
  </r>
  <r>
    <n v="90"/>
    <s v="CSAT265"/>
    <s v="CSAT264"/>
    <x v="0"/>
    <s v="Satellite Reef"/>
    <d v="2023-02-20T00:00:00"/>
    <d v="2023-07-05T00:00:00"/>
    <n v="135"/>
    <s v="na"/>
    <x v="0"/>
    <n v="338"/>
    <n v="2"/>
    <s v="na"/>
    <s v="na"/>
    <n v="39.200000000000003"/>
    <n v="2.1789999999999998"/>
    <d v="1899-12-30T13:00:00"/>
    <d v="1899-12-30T19:07:00"/>
    <s v="na"/>
    <s v="na"/>
    <s v="na"/>
    <s v="na"/>
    <s v="6:07:00"/>
    <s v="na"/>
    <s v="na"/>
    <s v="na"/>
    <n v="37.020000000000003"/>
  </r>
  <r>
    <n v="90"/>
    <s v="CSAT265"/>
    <s v="CSAT264"/>
    <x v="0"/>
    <s v="Satellite Reef"/>
    <d v="2023-02-20T00:00:00"/>
    <d v="2023-07-05T00:00:00"/>
    <n v="135"/>
    <s v="na"/>
    <x v="0"/>
    <n v="338"/>
    <n v="2"/>
    <s v="na"/>
    <s v="na"/>
    <n v="40.67"/>
    <n v="2.6635"/>
    <d v="1899-12-30T13:00:00"/>
    <d v="1899-12-30T19:07:00"/>
    <s v="na"/>
    <s v="na"/>
    <s v="na"/>
    <s v="na"/>
    <s v="6:07:00"/>
    <s v="na"/>
    <s v="na"/>
    <s v="na"/>
    <n v="37.020000000000003"/>
  </r>
  <r>
    <n v="120"/>
    <s v="CPRE550"/>
    <s v="CPRE533"/>
    <x v="0"/>
    <s v="Pretty Patches"/>
    <d v="2023-03-21T00:00:00"/>
    <d v="2023-07-12T00:00:00"/>
    <n v="113"/>
    <s v="na"/>
    <x v="2"/>
    <n v="326"/>
    <n v="2"/>
    <s v="na"/>
    <s v="na"/>
    <n v="31.15"/>
    <n v="1.0920000000000001"/>
    <d v="1899-12-30T12:13:52"/>
    <d v="1899-12-30T18:17:00"/>
    <s v="na"/>
    <s v="na"/>
    <s v="na"/>
    <s v="na"/>
    <s v="6:03:08"/>
    <s v="na"/>
    <s v="na"/>
    <s v="na"/>
    <n v="37.020000000000003"/>
  </r>
  <r>
    <n v="65"/>
    <s v="LSBI028"/>
    <s v="LSBI027"/>
    <x v="1"/>
    <s v="St. Bee's Island"/>
    <d v="2023-01-27T00:00:00"/>
    <d v="2023-06-06T00:00:00"/>
    <n v="130"/>
    <s v="blue"/>
    <x v="0"/>
    <n v="341"/>
    <n v="2"/>
    <n v="5"/>
    <n v="3"/>
    <n v="33.700000000000003"/>
    <n v="1.5189999999999999"/>
    <d v="1899-12-30T10:33:39"/>
    <d v="1899-12-30T17:13:00"/>
    <n v="37.124000000000002"/>
    <m/>
    <n v="37.124000000000002"/>
    <m/>
    <s v="6:39:21"/>
    <n v="0.10340000000000001"/>
    <n v="37.020600000000002"/>
    <m/>
    <n v="37.020600000000002"/>
  </r>
  <r>
    <n v="65"/>
    <s v="LSBI028"/>
    <s v="LSBI027"/>
    <x v="1"/>
    <s v="St. Bee's Island"/>
    <d v="2023-01-27T00:00:00"/>
    <d v="2023-06-06T00:00:00"/>
    <n v="130"/>
    <s v="white"/>
    <x v="1"/>
    <n v="232"/>
    <n v="2"/>
    <n v="5"/>
    <n v="4"/>
    <n v="34.89"/>
    <n v="1.6669"/>
    <d v="1899-12-30T10:33:39"/>
    <d v="1899-12-30T17:13:00"/>
    <n v="37.124000000000002"/>
    <m/>
    <n v="37.124000000000002"/>
    <m/>
    <s v="6:39:21"/>
    <n v="0.10340000000000001"/>
    <n v="37.020600000000002"/>
    <m/>
    <n v="37.020600000000002"/>
  </r>
  <r>
    <n v="65"/>
    <s v="LSBI028"/>
    <s v="LSBI027"/>
    <x v="1"/>
    <s v="St. Bee's Island"/>
    <d v="2023-01-27T00:00:00"/>
    <d v="2023-06-06T00:00:00"/>
    <n v="130"/>
    <s v="red"/>
    <x v="2"/>
    <n v="126"/>
    <n v="2"/>
    <n v="5"/>
    <n v="3"/>
    <n v="28.02"/>
    <n v="0.93600000000000005"/>
    <d v="1899-12-30T10:33:39"/>
    <d v="1899-12-30T17:16:00"/>
    <n v="37.075500000000005"/>
    <n v="37"/>
    <n v="37.151000000000003"/>
    <n v="0.15100000000000335"/>
    <s v="6:42:21"/>
    <n v="0.10340000000000001"/>
    <n v="37.047600000000003"/>
    <n v="4.7600000000002751E-2"/>
    <n v="37.023800000000001"/>
  </r>
  <r>
    <n v="90"/>
    <s v="CSAT265"/>
    <s v="CSAT264"/>
    <x v="0"/>
    <s v="Satellite Reef"/>
    <d v="2023-02-20T00:00:00"/>
    <d v="2023-07-06T00:00:00"/>
    <n v="136"/>
    <s v="red"/>
    <x v="1"/>
    <n v="332"/>
    <n v="2"/>
    <n v="1"/>
    <n v="2"/>
    <n v="35.69"/>
    <n v="1.9348000000000001"/>
    <d v="1899-12-30T11:43:22"/>
    <d v="1899-12-30T17:47:00"/>
    <m/>
    <n v="37"/>
    <n v="37.151000000000003"/>
    <n v="0.15100000000000335"/>
    <s v="6:03:38"/>
    <n v="0.10299999999999999"/>
    <n v="37.048000000000002"/>
    <n v="4.8000000000001819E-2"/>
    <n v="37.024000000000001"/>
  </r>
  <r>
    <n v="90"/>
    <s v="CSAT265"/>
    <s v="CSAT264"/>
    <x v="0"/>
    <s v="Satellite Reef"/>
    <d v="2023-02-20T00:00:00"/>
    <d v="2023-07-06T00:00:00"/>
    <n v="136"/>
    <s v="red"/>
    <x v="1"/>
    <n v="332"/>
    <n v="2"/>
    <n v="1"/>
    <n v="1"/>
    <n v="39.65"/>
    <n v="2.7827000000000002"/>
    <d v="1899-12-30T11:43:22"/>
    <d v="1899-12-30T17:47:00"/>
    <m/>
    <n v="37"/>
    <n v="37.151000000000003"/>
    <n v="0.15100000000000335"/>
    <s v="6:03:38"/>
    <n v="0.10299999999999999"/>
    <n v="37.048000000000002"/>
    <n v="4.8000000000001819E-2"/>
    <n v="37.024000000000001"/>
  </r>
  <r>
    <n v="99"/>
    <s v="CARL335"/>
    <s v="CARL359"/>
    <x v="0"/>
    <s v="Arlington Reef"/>
    <d v="2023-02-23T00:00:00"/>
    <d v="2023-07-13T00:00:00"/>
    <n v="140"/>
    <s v="red"/>
    <x v="2"/>
    <n v="258"/>
    <n v="1"/>
    <n v="4"/>
    <n v="2"/>
    <n v="38.799999999999997"/>
    <n v="2.6425999999999998"/>
    <d v="1899-12-30T11:50:15"/>
    <d v="1899-12-30T17:56:00"/>
    <m/>
    <m/>
    <n v="37.042000000000002"/>
    <m/>
    <s v="6:05:45"/>
    <n v="1.7999999999999999E-2"/>
    <n v="37.024000000000001"/>
    <m/>
    <n v="37.024000000000001"/>
  </r>
  <r>
    <n v="99"/>
    <s v="CARL335"/>
    <s v="CARL359"/>
    <x v="0"/>
    <s v="Arlington Reef"/>
    <d v="2023-02-23T00:00:00"/>
    <d v="2023-07-06T00:00:00"/>
    <n v="133"/>
    <s v="red"/>
    <x v="1"/>
    <n v="234"/>
    <n v="1"/>
    <n v="2"/>
    <n v="1"/>
    <n v="32.450000000000003"/>
    <n v="1.4140999999999999"/>
    <d v="1899-12-30T11:43:22"/>
    <d v="1899-12-30T19:07:00"/>
    <m/>
    <n v="37"/>
    <n v="37.069000000000003"/>
    <n v="6.9000000000002615E-2"/>
    <s v="7:23:38"/>
    <n v="0.01"/>
    <n v="37.059000000000005"/>
    <n v="5.9000000000004604E-2"/>
    <n v="37.029499999999999"/>
  </r>
  <r>
    <n v="120"/>
    <s v="CPRE550"/>
    <s v="CPRE533"/>
    <x v="0"/>
    <s v="Pretty Patches"/>
    <d v="2023-03-21T00:00:00"/>
    <d v="2023-07-13T00:00:00"/>
    <n v="114"/>
    <s v="blue"/>
    <x v="0"/>
    <n v="140"/>
    <n v="2"/>
    <n v="5"/>
    <n v="1"/>
    <n v="30.76"/>
    <n v="1.1047"/>
    <d v="1899-12-30T11:50:15"/>
    <d v="1899-12-30T17:54:00"/>
    <m/>
    <n v="37"/>
    <n v="37.069000000000003"/>
    <n v="6.9000000000002615E-2"/>
    <s v="6:03:45"/>
    <n v="6.0000000000000001E-3"/>
    <n v="37.063000000000002"/>
    <n v="6.3000000000002387E-2"/>
    <n v="37.031500000000001"/>
  </r>
  <r>
    <n v="120"/>
    <s v="CPRE550"/>
    <s v="CPRE533"/>
    <x v="0"/>
    <s v="Pretty Patches"/>
    <d v="2023-03-21T00:00:00"/>
    <d v="2023-07-13T00:00:00"/>
    <n v="114"/>
    <s v="blue"/>
    <x v="0"/>
    <n v="140"/>
    <n v="2"/>
    <n v="5"/>
    <n v="3"/>
    <n v="31.47"/>
    <n v="1.2555000000000001"/>
    <d v="1899-12-30T11:50:15"/>
    <d v="1899-12-30T17:54:00"/>
    <m/>
    <n v="37"/>
    <n v="37.069000000000003"/>
    <n v="6.9000000000002615E-2"/>
    <s v="6:03:45"/>
    <n v="6.0000000000000001E-3"/>
    <n v="37.063000000000002"/>
    <n v="6.3000000000002387E-2"/>
    <n v="37.031500000000001"/>
  </r>
  <r>
    <n v="120"/>
    <s v="CPRE550"/>
    <s v="CPRE533"/>
    <x v="0"/>
    <s v="Pretty Patches"/>
    <d v="2023-03-21T00:00:00"/>
    <d v="2023-07-12T00:00:00"/>
    <n v="113"/>
    <s v="red"/>
    <x v="0"/>
    <n v="140"/>
    <n v="1"/>
    <n v="1"/>
    <n v="1"/>
    <n v="36.61"/>
    <n v="2.1381000000000001"/>
    <d v="1899-12-30T12:13:52"/>
    <d v="1899-12-30T18:20:00"/>
    <m/>
    <m/>
    <n v="37.151000000000003"/>
    <m/>
    <s v="6:06:08"/>
    <n v="0.11700000000000001"/>
    <n v="37.034000000000006"/>
    <m/>
    <n v="37.034000000000006"/>
  </r>
  <r>
    <n v="120"/>
    <s v="CPRE550"/>
    <s v="CPRE533"/>
    <x v="0"/>
    <s v="Pretty Patches"/>
    <d v="2023-03-21T00:00:00"/>
    <d v="2023-07-12T00:00:00"/>
    <n v="113"/>
    <s v="white"/>
    <x v="1"/>
    <n v="333"/>
    <n v="2"/>
    <n v="1"/>
    <n v="1"/>
    <n v="27.74"/>
    <n v="0.93220000000000003"/>
    <d v="1899-12-30T12:13:52"/>
    <d v="1899-12-30T18:20:00"/>
    <m/>
    <m/>
    <n v="37.151000000000003"/>
    <m/>
    <s v="6:06:08"/>
    <n v="0.11700000000000001"/>
    <n v="37.034000000000006"/>
    <m/>
    <n v="37.034000000000006"/>
  </r>
  <r>
    <n v="120"/>
    <s v="CPRE550"/>
    <s v="CPRE533"/>
    <x v="0"/>
    <s v="Pretty Patches"/>
    <d v="2023-03-21T00:00:00"/>
    <d v="2023-07-12T00:00:00"/>
    <n v="113"/>
    <s v="white"/>
    <x v="1"/>
    <n v="333"/>
    <n v="2"/>
    <n v="1"/>
    <n v="3"/>
    <n v="31.77"/>
    <n v="1.3172999999999999"/>
    <d v="1899-12-30T12:13:52"/>
    <d v="1899-12-30T18:20:00"/>
    <m/>
    <m/>
    <n v="37.151000000000003"/>
    <m/>
    <s v="6:06:08"/>
    <n v="0.11700000000000001"/>
    <n v="37.034000000000006"/>
    <m/>
    <n v="37.034000000000006"/>
  </r>
  <r>
    <n v="120"/>
    <s v="CPRE550"/>
    <s v="CPRE533"/>
    <x v="0"/>
    <s v="Pretty Patches"/>
    <d v="2023-03-21T00:00:00"/>
    <d v="2023-07-12T00:00:00"/>
    <n v="113"/>
    <s v="blue"/>
    <x v="2"/>
    <n v="326"/>
    <n v="2"/>
    <n v="1"/>
    <n v="5"/>
    <n v="27.55"/>
    <n v="0.88600000000000001"/>
    <d v="1899-12-30T12:13:52"/>
    <d v="1899-12-30T18:21:00"/>
    <m/>
    <m/>
    <n v="37.151000000000003"/>
    <m/>
    <s v="6:07:08"/>
    <n v="0.11700000000000001"/>
    <n v="37.034000000000006"/>
    <m/>
    <n v="37.034000000000006"/>
  </r>
  <r>
    <n v="110"/>
    <s v="CPRE453"/>
    <s v="CPRE459"/>
    <x v="0"/>
    <s v="Pretty Patches"/>
    <d v="2023-03-07T00:00:00"/>
    <d v="2023-07-13T00:00:00"/>
    <n v="128"/>
    <s v="white"/>
    <x v="1"/>
    <n v="329"/>
    <n v="1"/>
    <n v="2"/>
    <n v="3"/>
    <n v="33.72"/>
    <n v="1.5535000000000001"/>
    <d v="1899-12-30T11:50:15"/>
    <d v="1899-12-30T17:49:00"/>
    <m/>
    <m/>
    <n v="37.042000000000002"/>
    <m/>
    <s v="5:58:45"/>
    <n v="0"/>
    <n v="37.042000000000002"/>
    <m/>
    <n v="37.042000000000002"/>
  </r>
  <r>
    <n v="110"/>
    <s v="CPRE453"/>
    <s v="CPRE459"/>
    <x v="0"/>
    <s v="Pretty Patches"/>
    <d v="2023-03-07T00:00:00"/>
    <d v="2023-07-13T00:00:00"/>
    <n v="128"/>
    <s v="red"/>
    <x v="2"/>
    <n v="360"/>
    <n v="1"/>
    <n v="2"/>
    <n v="1"/>
    <n v="28.47"/>
    <n v="0.94710000000000005"/>
    <d v="1899-12-30T11:50:15"/>
    <d v="1899-12-30T17:49:00"/>
    <m/>
    <m/>
    <n v="37.042000000000002"/>
    <m/>
    <s v="5:58:45"/>
    <n v="0"/>
    <n v="37.042000000000002"/>
    <m/>
    <n v="37.042000000000002"/>
  </r>
  <r>
    <n v="102"/>
    <s v="LSBI034"/>
    <s v="LCHA120"/>
    <x v="1"/>
    <s v="Chauvel Reef/St. Bee's Island"/>
    <d v="2023-02-27T00:00:00"/>
    <d v="2023-07-06T00:00:00"/>
    <n v="129"/>
    <s v="blue"/>
    <x v="2"/>
    <n v="223"/>
    <n v="1"/>
    <n v="5"/>
    <n v="4"/>
    <n v="24.25"/>
    <n v="0.56689999999999996"/>
    <d v="1899-12-30T11:43:22"/>
    <d v="1899-12-30T17:46:00"/>
    <m/>
    <n v="37.1"/>
    <n v="37.095999999999997"/>
    <n v="-4.0000000000048885E-3"/>
    <s v="6:02:38"/>
    <n v="0.111"/>
    <n v="36.984999999999999"/>
    <n v="-0.11500000000000199"/>
    <n v="37.042500000000004"/>
  </r>
  <r>
    <n v="102"/>
    <s v="LSBI034"/>
    <s v="LCHA120"/>
    <x v="1"/>
    <s v="Chauvel Reef/St. Bee's Island"/>
    <d v="2023-02-27T00:00:00"/>
    <d v="2023-07-06T00:00:00"/>
    <n v="129"/>
    <s v="blue"/>
    <x v="2"/>
    <n v="223"/>
    <n v="1"/>
    <n v="5"/>
    <n v="5"/>
    <n v="29.32"/>
    <n v="0.9798"/>
    <d v="1899-12-30T11:43:22"/>
    <d v="1899-12-30T17:46:00"/>
    <m/>
    <n v="37.1"/>
    <n v="37.095999999999997"/>
    <n v="-4.0000000000048885E-3"/>
    <s v="6:02:38"/>
    <n v="0.111"/>
    <n v="36.984999999999999"/>
    <n v="-0.11500000000000199"/>
    <n v="37.042500000000004"/>
  </r>
  <r>
    <n v="101"/>
    <s v="LSBI028"/>
    <s v="LSBI027"/>
    <x v="1"/>
    <s v="St. Bee's Island"/>
    <d v="2023-02-25T00:00:00"/>
    <d v="2023-07-12T00:00:00"/>
    <n v="137"/>
    <s v="white"/>
    <x v="1"/>
    <n v="248"/>
    <n v="1"/>
    <n v="3"/>
    <n v="4"/>
    <n v="29.84"/>
    <n v="1.0488999999999999"/>
    <d v="1899-12-30T12:13:52"/>
    <d v="1899-12-30T18:19:00"/>
    <m/>
    <m/>
    <n v="37.124000000000002"/>
    <m/>
    <s v="6:05:08"/>
    <n v="8.0199999999999994E-2"/>
    <n v="37.043800000000005"/>
    <m/>
    <n v="37.043800000000005"/>
  </r>
  <r>
    <n v="87"/>
    <s v="CRUS426"/>
    <s v="CRUS360"/>
    <x v="0"/>
    <s v="Russel Island"/>
    <d v="2023-02-16T00:00:00"/>
    <d v="2023-06-09T00:00:00"/>
    <n v="113"/>
    <s v="blue"/>
    <x v="0"/>
    <n v="143"/>
    <n v="1"/>
    <n v="2"/>
    <n v="5"/>
    <n v="25.44"/>
    <n v="0.72409999999999997"/>
    <d v="1899-12-30T11:33:47"/>
    <d v="1899-12-30T17:39:00"/>
    <n v="37.087000000000003"/>
    <n v="37.049999999999997"/>
    <n v="37.124000000000002"/>
    <n v="7.4000000000005173E-2"/>
    <s v="6:05:13"/>
    <n v="7.5999999999999998E-2"/>
    <n v="37.048000000000002"/>
    <n v="-1.9999999999953388E-3"/>
    <n v="37.048999999999999"/>
  </r>
  <r>
    <n v="101"/>
    <s v="LSBI028"/>
    <s v="LSBI027"/>
    <x v="1"/>
    <s v="St. Bee's Island"/>
    <d v="2023-02-25T00:00:00"/>
    <d v="2023-07-13T00:00:00"/>
    <n v="138"/>
    <s v="na"/>
    <x v="2"/>
    <n v="226"/>
    <n v="2"/>
    <s v="na"/>
    <s v="na"/>
    <n v="35.340000000000003"/>
    <n v="1.4424999999999999"/>
    <d v="1899-12-30T11:45:00"/>
    <d v="1899-12-30T17:55:00"/>
    <s v="na"/>
    <s v="na"/>
    <s v="na"/>
    <s v="na"/>
    <s v="6:10:00"/>
    <s v="na"/>
    <s v="na"/>
    <s v="na"/>
    <n v="37.049999999999997"/>
  </r>
  <r>
    <n v="110"/>
    <s v="CPRE453"/>
    <s v="CPRE459"/>
    <x v="0"/>
    <s v="Pretty Patches"/>
    <d v="2023-03-07T00:00:00"/>
    <d v="2023-07-13T00:00:00"/>
    <n v="128"/>
    <s v="na"/>
    <x v="2"/>
    <n v="325"/>
    <n v="2"/>
    <s v="na"/>
    <s v="na"/>
    <n v="32.200000000000003"/>
    <n v="1.3174999999999999"/>
    <d v="1899-12-30T11:45:00"/>
    <d v="1899-12-30T17:56:00"/>
    <s v="na"/>
    <s v="na"/>
    <s v="na"/>
    <s v="na"/>
    <s v="6:11:00"/>
    <s v="na"/>
    <s v="na"/>
    <s v="na"/>
    <n v="37.049999999999997"/>
  </r>
  <r>
    <n v="99"/>
    <s v="CARL335"/>
    <s v="CARL359"/>
    <x v="0"/>
    <s v="Arlington Reef"/>
    <d v="2023-02-23T00:00:00"/>
    <d v="2023-07-13T00:00:00"/>
    <n v="140"/>
    <s v="white"/>
    <x v="1"/>
    <n v="234"/>
    <n v="2"/>
    <n v="4"/>
    <n v="3"/>
    <n v="29.94"/>
    <n v="1.071"/>
    <d v="1899-12-30T11:50:15"/>
    <d v="1899-12-30T17:53:00"/>
    <m/>
    <m/>
    <n v="37.069000000000003"/>
    <m/>
    <s v="6:02:45"/>
    <n v="1.7999999999999999E-2"/>
    <n v="37.051000000000002"/>
    <m/>
    <n v="37.051000000000002"/>
  </r>
  <r>
    <n v="99"/>
    <s v="CARL335"/>
    <s v="CARL359"/>
    <x v="0"/>
    <s v="Arlington Reef"/>
    <d v="2023-02-23T00:00:00"/>
    <d v="2023-07-13T00:00:00"/>
    <n v="140"/>
    <s v="white"/>
    <x v="1"/>
    <n v="234"/>
    <n v="2"/>
    <n v="4"/>
    <n v="5"/>
    <n v="34.049999999999997"/>
    <n v="1.6064000000000001"/>
    <d v="1899-12-30T11:50:15"/>
    <d v="1899-12-30T17:53:00"/>
    <m/>
    <m/>
    <n v="37.069000000000003"/>
    <m/>
    <s v="6:02:45"/>
    <n v="1.7999999999999999E-2"/>
    <n v="37.051000000000002"/>
    <m/>
    <n v="37.051000000000002"/>
  </r>
  <r>
    <n v="60"/>
    <s v="LCKM159"/>
    <s v="LCKM155"/>
    <x v="1"/>
    <s v="Cockermouth Island"/>
    <d v="2023-01-17T00:00:00"/>
    <d v="2023-06-09T00:00:00"/>
    <n v="143"/>
    <s v="white"/>
    <x v="1"/>
    <n v="152"/>
    <n v="2"/>
    <n v="1"/>
    <n v="4"/>
    <n v="39.17"/>
    <n v="2.3944000000000001"/>
    <d v="1899-12-30T11:33:47"/>
    <d v="1899-12-30T17:39:00"/>
    <n v="37.072999999999993"/>
    <n v="37.049999999999997"/>
    <n v="37.095999999999997"/>
    <n v="4.5999999999999375E-2"/>
    <s v="6:05:13"/>
    <n v="2.9250000000000002E-2"/>
    <n v="37.066749999999999"/>
    <n v="1.6750000000001819E-2"/>
    <n v="37.058374999999998"/>
  </r>
  <r>
    <n v="110"/>
    <s v="CPRE453"/>
    <s v="CPRE459"/>
    <x v="0"/>
    <s v="Pretty Patches"/>
    <d v="2023-03-07T00:00:00"/>
    <d v="2023-07-13T00:00:00"/>
    <n v="128"/>
    <s v="na"/>
    <x v="2"/>
    <n v="325"/>
    <n v="2"/>
    <s v="na"/>
    <s v="na"/>
    <n v="32.07"/>
    <n v="1.2524999999999999"/>
    <d v="1899-12-30T11:45:00"/>
    <d v="1899-12-30T17:56:00"/>
    <s v="na"/>
    <s v="na"/>
    <s v="na"/>
    <s v="na"/>
    <s v="6:11:00"/>
    <s v="na"/>
    <s v="na"/>
    <s v="na"/>
    <n v="37.06"/>
  </r>
  <r>
    <n v="120"/>
    <s v="CPRE550"/>
    <s v="CPRE533"/>
    <x v="0"/>
    <s v="Pretty Patches"/>
    <d v="2023-03-21T00:00:00"/>
    <d v="2023-07-12T00:00:00"/>
    <n v="113"/>
    <s v="blue"/>
    <x v="2"/>
    <n v="326"/>
    <n v="2"/>
    <n v="1"/>
    <n v="3"/>
    <n v="26.94"/>
    <n v="0.875"/>
    <d v="1899-12-30T12:13:52"/>
    <d v="1899-12-30T18:23:00"/>
    <m/>
    <m/>
    <n v="37.177999999999997"/>
    <m/>
    <s v="6:09:08"/>
    <n v="0.11700000000000001"/>
    <n v="37.061"/>
    <m/>
    <n v="37.061"/>
  </r>
  <r>
    <n v="56"/>
    <s v="CARL217"/>
    <s v="CARL226"/>
    <x v="0"/>
    <s v="Arlington Reef"/>
    <d v="2023-01-12T00:00:00"/>
    <d v="2023-06-06T00:00:00"/>
    <n v="145"/>
    <s v="white"/>
    <x v="1"/>
    <n v="131"/>
    <n v="2"/>
    <n v="4"/>
    <n v="2"/>
    <n v="34.51"/>
    <n v="1.5168999999999999"/>
    <d v="1899-12-30T10:33:39"/>
    <d v="1899-12-30T17:08:00"/>
    <m/>
    <m/>
    <n v="37.069000000000003"/>
    <m/>
    <s v="6:34:21"/>
    <n v="7.3099999999999997E-3"/>
    <n v="37.061690000000006"/>
    <m/>
    <n v="37.061690000000006"/>
  </r>
  <r>
    <n v="89"/>
    <s v="LCKM159"/>
    <s v="LCKM155"/>
    <x v="1"/>
    <s v="Cockermouth Island"/>
    <d v="2023-02-10T00:00:00"/>
    <d v="2023-06-06T00:00:00"/>
    <n v="116"/>
    <s v="white"/>
    <x v="1"/>
    <n v="350"/>
    <n v="1"/>
    <n v="1"/>
    <n v="4"/>
    <n v="32.270000000000003"/>
    <n v="1.3320000000000001"/>
    <d v="1899-12-30T10:33:39"/>
    <d v="1899-12-30T17:08:00"/>
    <n v="37.069000000000003"/>
    <m/>
    <n v="37.069000000000003"/>
    <m/>
    <s v="6:34:21"/>
    <n v="7.3099999999999997E-3"/>
    <n v="37.061690000000006"/>
    <m/>
    <n v="37.061690000000006"/>
  </r>
  <r>
    <n v="89"/>
    <s v="LCKM159"/>
    <s v="LCKM155"/>
    <x v="1"/>
    <s v="Cockermouth Island"/>
    <d v="2023-02-10T00:00:00"/>
    <d v="2023-06-06T00:00:00"/>
    <n v="116"/>
    <s v="red"/>
    <x v="2"/>
    <n v="257"/>
    <n v="1"/>
    <n v="1"/>
    <n v="2"/>
    <n v="28.86"/>
    <n v="1.0982000000000001"/>
    <d v="1899-12-30T10:33:39"/>
    <d v="1899-12-30T17:08:00"/>
    <n v="37.069000000000003"/>
    <m/>
    <n v="37.069000000000003"/>
    <m/>
    <s v="6:34:21"/>
    <n v="7.3099999999999997E-3"/>
    <n v="37.061690000000006"/>
    <m/>
    <n v="37.061690000000006"/>
  </r>
  <r>
    <n v="108"/>
    <s v="CARL369"/>
    <s v="CARL349"/>
    <x v="0"/>
    <s v="Arlington Reef"/>
    <d v="2023-03-05T00:00:00"/>
    <d v="2023-07-06T00:00:00"/>
    <n v="123"/>
    <s v="red"/>
    <x v="1"/>
    <n v="354"/>
    <n v="1"/>
    <n v="4"/>
    <n v="4"/>
    <n v="32.19"/>
    <n v="1.3996"/>
    <d v="1899-12-30T11:43:22"/>
    <d v="1899-12-30T17:50:00"/>
    <m/>
    <n v="37"/>
    <n v="37.095999999999997"/>
    <n v="9.5999999999996533E-2"/>
    <s v="6:06:38"/>
    <n v="-2.92E-2"/>
    <n v="37.1252"/>
    <n v="0.12519999999999953"/>
    <n v="37.062600000000003"/>
  </r>
  <r>
    <n v="99"/>
    <s v="CARL335"/>
    <s v="CARL359"/>
    <x v="0"/>
    <s v="Arlington Reef"/>
    <d v="2023-02-23T00:00:00"/>
    <d v="2023-07-06T00:00:00"/>
    <n v="133"/>
    <s v="blue"/>
    <x v="2"/>
    <n v="324"/>
    <n v="2"/>
    <n v="2"/>
    <n v="4"/>
    <n v="29.58"/>
    <n v="1.0674999999999999"/>
    <d v="1899-12-30T11:43:22"/>
    <d v="1899-12-30T17:48:00"/>
    <m/>
    <n v="37"/>
    <n v="37.206000000000003"/>
    <n v="0.20600000000000307"/>
    <s v="6:04:38"/>
    <n v="7.6700000000000004E-2"/>
    <n v="37.129300000000001"/>
    <n v="0.12930000000000064"/>
    <n v="37.06465"/>
  </r>
  <r>
    <n v="99"/>
    <s v="CARL335"/>
    <s v="CARL359"/>
    <x v="0"/>
    <s v="Arlington Reef"/>
    <d v="2023-02-23T00:00:00"/>
    <d v="2023-07-06T00:00:00"/>
    <n v="133"/>
    <s v="blue"/>
    <x v="2"/>
    <n v="324"/>
    <n v="2"/>
    <n v="2"/>
    <n v="2"/>
    <n v="31.32"/>
    <n v="1.2576000000000001"/>
    <d v="1899-12-30T11:43:22"/>
    <d v="1899-12-30T17:48:00"/>
    <m/>
    <n v="37"/>
    <n v="37.206000000000003"/>
    <n v="0.20600000000000307"/>
    <s v="6:04:38"/>
    <n v="7.6700000000000004E-2"/>
    <n v="37.129300000000001"/>
    <n v="0.12930000000000064"/>
    <n v="37.06465"/>
  </r>
  <r>
    <n v="74"/>
    <s v="LSBI023"/>
    <s v="LCHA118"/>
    <x v="1"/>
    <s v="Chauvel Reef/St. Bee's Island"/>
    <d v="2023-02-01T00:00:00"/>
    <d v="2023-06-09T00:00:00"/>
    <n v="128"/>
    <s v="red"/>
    <x v="2"/>
    <n v="227"/>
    <n v="2"/>
    <n v="4"/>
    <n v="3"/>
    <n v="25.85"/>
    <n v="0.70309999999999995"/>
    <d v="1899-12-30T11:33:47"/>
    <d v="1899-12-30T17:36:00"/>
    <n v="37.084500000000006"/>
    <n v="37.1"/>
    <n v="37.069000000000003"/>
    <n v="-3.0999999999998806E-2"/>
    <s v="6:02:13"/>
    <n v="2.9250000000000002E-2"/>
    <n v="37.039750000000005"/>
    <n v="-6.0249999999996362E-2"/>
    <n v="37.069875000000003"/>
  </r>
  <r>
    <n v="74"/>
    <s v="LSBI023"/>
    <s v="LCHA118"/>
    <x v="1"/>
    <s v="Chauvel Reef/St. Bee's Island"/>
    <d v="2023-02-01T00:00:00"/>
    <d v="2023-06-09T00:00:00"/>
    <n v="128"/>
    <s v="red"/>
    <x v="2"/>
    <n v="227"/>
    <n v="2"/>
    <n v="4"/>
    <n v="2"/>
    <n v="26.05"/>
    <n v="0.7591"/>
    <d v="1899-12-30T11:33:47"/>
    <d v="1899-12-30T17:36:00"/>
    <n v="37.084500000000006"/>
    <n v="37.1"/>
    <n v="37.069000000000003"/>
    <n v="-3.0999999999998806E-2"/>
    <s v="6:02:13"/>
    <n v="2.9250000000000002E-2"/>
    <n v="37.039750000000005"/>
    <n v="-6.0249999999996362E-2"/>
    <n v="37.069875000000003"/>
  </r>
  <r>
    <n v="96"/>
    <s v="CARL338"/>
    <s v="CARL345"/>
    <x v="0"/>
    <s v="Arlington Reef"/>
    <d v="2023-02-23T00:00:00"/>
    <d v="2023-07-07T00:00:00"/>
    <n v="134"/>
    <s v="na"/>
    <x v="2"/>
    <n v="157"/>
    <n v="1"/>
    <s v="na"/>
    <s v="na"/>
    <n v="39.56"/>
    <n v="2.5064000000000002"/>
    <d v="1899-12-30T13:08:13"/>
    <d v="1899-12-30T19:11:00"/>
    <s v="na"/>
    <s v="na"/>
    <s v="na"/>
    <s v="na"/>
    <s v="6:02:47"/>
    <s v="na"/>
    <s v="na"/>
    <s v="na"/>
    <n v="37.07"/>
  </r>
  <r>
    <n v="102"/>
    <s v="LSBI034"/>
    <s v="LCHA120"/>
    <x v="1"/>
    <s v="Chauvel Reef/St. Bee's Island"/>
    <d v="2023-02-27T00:00:00"/>
    <d v="2023-07-06T00:00:00"/>
    <n v="129"/>
    <s v="blue"/>
    <x v="2"/>
    <n v="223"/>
    <n v="1"/>
    <n v="5"/>
    <n v="2"/>
    <n v="26"/>
    <n v="0.76390000000000002"/>
    <d v="1899-12-30T11:43:22"/>
    <d v="1899-12-30T17:49:00"/>
    <m/>
    <n v="37.1"/>
    <n v="37.151000000000003"/>
    <n v="5.1000000000001933E-2"/>
    <s v="6:05:38"/>
    <n v="0.111"/>
    <n v="37.040000000000006"/>
    <n v="-5.9999999999995168E-2"/>
    <n v="37.070000000000007"/>
  </r>
  <r>
    <n v="102"/>
    <s v="LSBI034"/>
    <s v="LCHA120"/>
    <x v="1"/>
    <s v="Chauvel Reef/St. Bee's Island"/>
    <d v="2023-02-27T00:00:00"/>
    <d v="2023-07-06T00:00:00"/>
    <n v="129"/>
    <s v="blue"/>
    <x v="2"/>
    <n v="223"/>
    <n v="1"/>
    <n v="5"/>
    <n v="3"/>
    <n v="33.33"/>
    <n v="1.5324"/>
    <d v="1899-12-30T11:43:22"/>
    <d v="1899-12-30T17:49:00"/>
    <m/>
    <n v="37.1"/>
    <n v="37.151000000000003"/>
    <n v="5.1000000000001933E-2"/>
    <s v="6:05:38"/>
    <n v="0.111"/>
    <n v="37.040000000000006"/>
    <n v="-5.9999999999995168E-2"/>
    <n v="37.070000000000007"/>
  </r>
  <r>
    <n v="96"/>
    <s v="CARL338"/>
    <s v="CARL345"/>
    <x v="0"/>
    <s v="Arlington Reef"/>
    <d v="2023-02-23T00:00:00"/>
    <d v="2023-07-06T00:00:00"/>
    <n v="133"/>
    <s v="white"/>
    <x v="0"/>
    <n v="345"/>
    <n v="1"/>
    <n v="6"/>
    <n v="3"/>
    <n v="33.03"/>
    <n v="1.4357"/>
    <d v="1899-12-30T11:43:22"/>
    <d v="1899-12-30T17:47:00"/>
    <m/>
    <n v="37.1"/>
    <n v="37.042000000000002"/>
    <n v="-5.7999999999999829E-2"/>
    <s v="6:03:38"/>
    <n v="7.6999999999999996E-4"/>
    <n v="37.041229999999999"/>
    <n v="-5.8770000000002653E-2"/>
    <n v="37.070615000000004"/>
  </r>
  <r>
    <n v="96"/>
    <s v="CARL338"/>
    <s v="CARL345"/>
    <x v="0"/>
    <s v="Arlington Reef"/>
    <d v="2023-02-23T00:00:00"/>
    <d v="2023-07-06T00:00:00"/>
    <n v="133"/>
    <s v="red"/>
    <x v="1"/>
    <n v="250"/>
    <n v="1"/>
    <n v="6"/>
    <n v="2"/>
    <n v="34.79"/>
    <n v="1.94"/>
    <d v="1899-12-30T11:43:22"/>
    <d v="1899-12-30T17:47:00"/>
    <m/>
    <n v="37.1"/>
    <n v="37.042000000000002"/>
    <n v="-5.7999999999999829E-2"/>
    <s v="6:03:38"/>
    <n v="7.6999999999999996E-4"/>
    <n v="37.041229999999999"/>
    <n v="-5.8770000000002653E-2"/>
    <n v="37.070615000000004"/>
  </r>
  <r>
    <n v="96"/>
    <s v="CARL338"/>
    <s v="CARL345"/>
    <x v="0"/>
    <s v="Arlington Reef"/>
    <d v="2023-02-23T00:00:00"/>
    <d v="2023-07-06T00:00:00"/>
    <n v="133"/>
    <s v="blue"/>
    <x v="2"/>
    <n v="157"/>
    <n v="1"/>
    <n v="6"/>
    <n v="3"/>
    <n v="29.2"/>
    <n v="1.1123000000000001"/>
    <d v="1899-12-30T11:43:22"/>
    <d v="1899-12-30T17:47:00"/>
    <m/>
    <n v="37.1"/>
    <n v="37.042000000000002"/>
    <n v="-5.7999999999999829E-2"/>
    <s v="6:03:38"/>
    <n v="7.6999999999999996E-4"/>
    <n v="37.041229999999999"/>
    <n v="-5.8770000000002653E-2"/>
    <n v="37.070615000000004"/>
  </r>
  <r>
    <n v="69"/>
    <s v="LCKM164"/>
    <s v="LCKM156"/>
    <x v="1"/>
    <s v="Cockermouth Island"/>
    <d v="2023-01-30T00:00:00"/>
    <d v="2023-06-06T00:00:00"/>
    <n v="127"/>
    <s v="red"/>
    <x v="2"/>
    <n v="224"/>
    <n v="2"/>
    <n v="2"/>
    <n v="1"/>
    <n v="23.03"/>
    <n v="0.46139999999999998"/>
    <d v="1899-12-30T10:33:39"/>
    <d v="1899-12-30T17:27:00"/>
    <n v="37.11"/>
    <n v="36.85"/>
    <n v="37.369999999999997"/>
    <n v="0.51999999999999602"/>
    <s v="6:53:21"/>
    <n v="7.6850000000000002E-2"/>
    <n v="37.293149999999997"/>
    <n v="0.44314999999999571"/>
    <n v="37.071574999999996"/>
  </r>
  <r>
    <n v="108"/>
    <s v="CARL369"/>
    <s v="CARL349"/>
    <x v="0"/>
    <s v="Arlington Reef"/>
    <d v="2023-03-05T00:00:00"/>
    <d v="2023-07-13T00:00:00"/>
    <n v="130"/>
    <s v="blue"/>
    <x v="0"/>
    <n v="236"/>
    <n v="1"/>
    <n v="3"/>
    <n v="1"/>
    <n v="27.07"/>
    <n v="0.84309999999999996"/>
    <d v="1899-12-30T11:50:15"/>
    <d v="1899-12-30T17:52:00"/>
    <m/>
    <m/>
    <n v="37.095999999999997"/>
    <m/>
    <s v="6:01:45"/>
    <n v="2.3E-2"/>
    <n v="37.072999999999993"/>
    <m/>
    <n v="37.072999999999993"/>
  </r>
  <r>
    <n v="75"/>
    <s v="LSBI034"/>
    <s v="LCHA120"/>
    <x v="1"/>
    <s v="Chauvel Reef/St. Bee's Island"/>
    <d v="2023-02-02T00:00:00"/>
    <d v="2023-06-06T00:00:00"/>
    <n v="124"/>
    <s v="red"/>
    <x v="2"/>
    <n v="127"/>
    <n v="2"/>
    <n v="3"/>
    <n v="5"/>
    <n v="24.36"/>
    <n v="0.62180000000000002"/>
    <d v="1899-12-30T10:33:39"/>
    <d v="1899-12-30T17:09:00"/>
    <n v="37.177999999999997"/>
    <m/>
    <n v="37.177999999999997"/>
    <m/>
    <s v="6:35:21"/>
    <n v="0.1047"/>
    <n v="37.073299999999996"/>
    <m/>
    <n v="37.073299999999996"/>
  </r>
  <r>
    <n v="99"/>
    <s v="CARL335"/>
    <s v="CARL359"/>
    <x v="0"/>
    <s v="Arlington Reef"/>
    <d v="2023-02-23T00:00:00"/>
    <d v="2023-07-13T00:00:00"/>
    <n v="140"/>
    <s v="white"/>
    <x v="1"/>
    <n v="234"/>
    <n v="2"/>
    <n v="4"/>
    <n v="2"/>
    <n v="29.26"/>
    <n v="1.0303"/>
    <d v="1899-12-30T11:50:15"/>
    <d v="1899-12-30T17:58:00"/>
    <m/>
    <m/>
    <n v="37.095999999999997"/>
    <m/>
    <s v="6:07:45"/>
    <n v="1.7999999999999999E-2"/>
    <n v="37.077999999999996"/>
    <m/>
    <n v="37.077999999999996"/>
  </r>
  <r>
    <n v="99"/>
    <s v="CARL335"/>
    <s v="CARL359"/>
    <x v="0"/>
    <s v="Arlington Reef"/>
    <d v="2023-02-23T00:00:00"/>
    <d v="2023-07-06T00:00:00"/>
    <n v="133"/>
    <s v="blue"/>
    <x v="2"/>
    <n v="324"/>
    <n v="2"/>
    <n v="2"/>
    <n v="1"/>
    <n v="36.090000000000003"/>
    <n v="1.8633"/>
    <d v="1899-12-30T11:43:22"/>
    <d v="1899-12-30T17:53:00"/>
    <m/>
    <n v="36.950000000000003"/>
    <n v="37.287999999999997"/>
    <n v="0.33799999999999386"/>
    <s v="6:09:38"/>
    <n v="7.6700000000000004E-2"/>
    <n v="37.211299999999994"/>
    <n v="0.26129999999999143"/>
    <n v="37.080649999999999"/>
  </r>
  <r>
    <n v="60"/>
    <s v="LCKM159"/>
    <s v="LCKM155"/>
    <x v="1"/>
    <s v="Cockermouth Island"/>
    <d v="2023-01-17T00:00:00"/>
    <d v="2023-06-09T00:00:00"/>
    <n v="143"/>
    <s v="white"/>
    <x v="1"/>
    <n v="152"/>
    <n v="2"/>
    <n v="1"/>
    <n v="1"/>
    <n v="32.65"/>
    <n v="1.4182999999999999"/>
    <d v="1899-12-30T11:33:47"/>
    <d v="1899-12-30T17:39:00"/>
    <n v="37.097999999999999"/>
    <n v="37.1"/>
    <n v="37.095999999999997"/>
    <n v="-4.0000000000048885E-3"/>
    <s v="6:05:13"/>
    <n v="2.9250000000000002E-2"/>
    <n v="37.066749999999999"/>
    <n v="-3.3250000000002444E-2"/>
    <n v="37.083375000000004"/>
  </r>
  <r>
    <n v="60"/>
    <s v="LCKM159"/>
    <s v="LCKM155"/>
    <x v="1"/>
    <s v="Cockermouth Island"/>
    <d v="2023-01-17T00:00:00"/>
    <d v="2023-06-09T00:00:00"/>
    <n v="143"/>
    <s v="red"/>
    <x v="2"/>
    <n v="128"/>
    <n v="2"/>
    <n v="1"/>
    <n v="5"/>
    <n v="29.72"/>
    <n v="1.0728"/>
    <d v="1899-12-30T11:33:47"/>
    <d v="1899-12-30T17:39:00"/>
    <n v="37.097999999999999"/>
    <n v="37.1"/>
    <n v="37.095999999999997"/>
    <n v="-4.0000000000048885E-3"/>
    <s v="6:05:13"/>
    <n v="2.9250000000000002E-2"/>
    <n v="37.066749999999999"/>
    <n v="-3.3250000000002444E-2"/>
    <n v="37.083375000000004"/>
  </r>
  <r>
    <n v="65"/>
    <s v="LSBI028"/>
    <s v="LSBI027"/>
    <x v="1"/>
    <s v="St. Bee's Island"/>
    <d v="2023-01-27T00:00:00"/>
    <d v="2023-06-09T00:00:00"/>
    <n v="133"/>
    <s v="white"/>
    <x v="1"/>
    <n v="232"/>
    <n v="1"/>
    <n v="3"/>
    <n v="4"/>
    <n v="34.479999999999997"/>
    <n v="1.5906"/>
    <d v="1899-12-30T11:33:47"/>
    <d v="1899-12-30T17:44:00"/>
    <n v="37.100499999999997"/>
    <n v="37.049999999999997"/>
    <n v="37.151000000000003"/>
    <n v="0.1010000000000062"/>
    <s v="6:10:13"/>
    <n v="3.3820000000000003E-2"/>
    <n v="37.117180000000005"/>
    <n v="6.7180000000007567E-2"/>
    <n v="37.083590000000001"/>
  </r>
  <r>
    <n v="65"/>
    <s v="LSBI028"/>
    <s v="LSBI027"/>
    <x v="1"/>
    <s v="St. Bee's Island"/>
    <d v="2023-01-27T00:00:00"/>
    <d v="2023-06-09T00:00:00"/>
    <n v="133"/>
    <s v="red"/>
    <x v="2"/>
    <n v="126"/>
    <n v="1"/>
    <n v="3"/>
    <n v="2"/>
    <n v="29.16"/>
    <n v="0.99839999999999995"/>
    <d v="1899-12-30T11:33:47"/>
    <d v="1899-12-30T17:44:00"/>
    <n v="37.100499999999997"/>
    <n v="37.049999999999997"/>
    <n v="37.151000000000003"/>
    <n v="0.1010000000000062"/>
    <s v="6:10:13"/>
    <n v="3.3820000000000003E-2"/>
    <n v="37.117180000000005"/>
    <n v="6.7180000000007567E-2"/>
    <n v="37.083590000000001"/>
  </r>
  <r>
    <n v="65"/>
    <s v="LSBI028"/>
    <s v="LSBI027"/>
    <x v="1"/>
    <s v="St. Bee's Island"/>
    <d v="2023-01-27T00:00:00"/>
    <d v="2023-06-09T00:00:00"/>
    <n v="133"/>
    <s v="red"/>
    <x v="2"/>
    <n v="126"/>
    <n v="1"/>
    <n v="3"/>
    <n v="1"/>
    <n v="29.07"/>
    <n v="1.04"/>
    <d v="1899-12-30T11:33:47"/>
    <d v="1899-12-30T17:44:00"/>
    <n v="37.100499999999997"/>
    <n v="37.049999999999997"/>
    <n v="37.151000000000003"/>
    <n v="0.1010000000000062"/>
    <s v="6:10:13"/>
    <n v="3.3820000000000003E-2"/>
    <n v="37.117180000000005"/>
    <n v="6.7180000000007567E-2"/>
    <n v="37.083590000000001"/>
  </r>
  <r>
    <n v="90"/>
    <s v="CSAT265"/>
    <s v="CSAT264"/>
    <x v="0"/>
    <s v="Satellite Reef"/>
    <d v="2023-02-20T00:00:00"/>
    <d v="2023-07-06T00:00:00"/>
    <n v="136"/>
    <s v="na"/>
    <x v="2"/>
    <n v="255"/>
    <n v="1"/>
    <s v="na"/>
    <s v="na"/>
    <n v="30.24"/>
    <n v="1.1669"/>
    <d v="1899-12-30T11:43:22"/>
    <d v="1899-12-30T17:58:00"/>
    <s v="na"/>
    <s v="na"/>
    <s v="na"/>
    <s v="na"/>
    <s v="6:14:38"/>
    <s v="na"/>
    <s v="na"/>
    <s v="na"/>
    <n v="37.090000000000003"/>
  </r>
  <r>
    <n v="99"/>
    <s v="CARL335"/>
    <s v="CARL359"/>
    <x v="0"/>
    <s v="Arlington Reef"/>
    <d v="2023-02-23T00:00:00"/>
    <d v="2023-07-06T00:00:00"/>
    <n v="133"/>
    <s v="blue"/>
    <x v="2"/>
    <n v="324"/>
    <n v="2"/>
    <n v="2"/>
    <n v="3"/>
    <n v="37.76"/>
    <n v="2.3868"/>
    <d v="1899-12-30T11:43:22"/>
    <d v="1899-12-30T17:51:00"/>
    <m/>
    <n v="37"/>
    <n v="37.261000000000003"/>
    <n v="0.26100000000000279"/>
    <s v="6:07:38"/>
    <n v="7.6700000000000004E-2"/>
    <n v="37.1843"/>
    <n v="0.18430000000000035"/>
    <n v="37.092150000000004"/>
  </r>
  <r>
    <n v="96"/>
    <s v="CARL338"/>
    <s v="CARL345"/>
    <x v="0"/>
    <s v="Arlington Reef"/>
    <d v="2023-02-23T00:00:00"/>
    <d v="2023-07-12T00:00:00"/>
    <n v="139"/>
    <s v="white"/>
    <x v="1"/>
    <n v="233"/>
    <n v="2"/>
    <n v="6"/>
    <n v="5"/>
    <n v="25.29"/>
    <n v="0.62949999999999995"/>
    <d v="1899-12-30T12:13:52"/>
    <d v="1899-12-30T18:27:00"/>
    <m/>
    <n v="37.1"/>
    <n v="37.095999999999997"/>
    <n v="-4.0000000000048885E-3"/>
    <s v="6:13:08"/>
    <n v="0.01"/>
    <n v="37.085999999999999"/>
    <n v="-1.4000000000002899E-2"/>
    <n v="37.093000000000004"/>
  </r>
  <r>
    <n v="107"/>
    <s v="CPRE521"/>
    <s v="CPRE524"/>
    <x v="0"/>
    <s v="Pretty Patches"/>
    <d v="2023-03-05T00:00:00"/>
    <d v="2023-07-13T00:00:00"/>
    <n v="130"/>
    <s v="blue"/>
    <x v="0"/>
    <n v="247"/>
    <n v="1"/>
    <n v="6"/>
    <n v="1"/>
    <n v="36.99"/>
    <n v="2.16"/>
    <d v="1899-12-30T11:50:15"/>
    <d v="1899-12-30T17:58:00"/>
    <m/>
    <n v="37.200000000000003"/>
    <n v="37.042000000000002"/>
    <n v="-0.15800000000000125"/>
    <s v="6:07:45"/>
    <n v="5.5E-2"/>
    <n v="36.987000000000002"/>
    <n v="-0.21300000000000097"/>
    <n v="37.093500000000006"/>
  </r>
  <r>
    <n v="107"/>
    <s v="CPRE521"/>
    <s v="CPRE524"/>
    <x v="0"/>
    <s v="Pretty Patches"/>
    <d v="2023-03-05T00:00:00"/>
    <d v="2023-07-13T00:00:00"/>
    <n v="130"/>
    <s v="blue"/>
    <x v="0"/>
    <n v="247"/>
    <n v="1"/>
    <n v="6"/>
    <n v="5"/>
    <n v="34.74"/>
    <n v="1.6496999999999999"/>
    <d v="1899-12-30T11:50:15"/>
    <d v="1899-12-30T17:56:00"/>
    <m/>
    <m/>
    <n v="37.15"/>
    <m/>
    <s v="6:05:45"/>
    <n v="5.5E-2"/>
    <n v="37.094999999999999"/>
    <m/>
    <n v="37.094999999999999"/>
  </r>
  <r>
    <n v="65"/>
    <s v="LSBI028"/>
    <s v="LSBI027"/>
    <x v="1"/>
    <s v="St. Bee's Island"/>
    <d v="2023-01-27T00:00:00"/>
    <d v="2023-06-09T00:00:00"/>
    <n v="133"/>
    <s v="red"/>
    <x v="2"/>
    <n v="126"/>
    <n v="1"/>
    <n v="3"/>
    <n v="4"/>
    <n v="28.89"/>
    <n v="0.9919"/>
    <d v="1899-12-30T11:33:47"/>
    <d v="1899-12-30T17:42:00"/>
    <n v="37.112000000000002"/>
    <n v="37.1"/>
    <n v="37.124000000000002"/>
    <n v="2.4000000000000909E-2"/>
    <s v="6:08:13"/>
    <n v="3.3820000000000003E-2"/>
    <n v="37.090180000000004"/>
    <n v="-9.8199999999977194E-3"/>
    <n v="37.095089999999999"/>
  </r>
  <r>
    <n v="110"/>
    <s v="CPRE453"/>
    <s v="CPRE459"/>
    <x v="0"/>
    <s v="Pretty Patches"/>
    <d v="2023-03-07T00:00:00"/>
    <d v="2023-07-13T00:00:00"/>
    <n v="128"/>
    <s v="white"/>
    <x v="1"/>
    <n v="329"/>
    <n v="1"/>
    <n v="2"/>
    <n v="5"/>
    <n v="28.8"/>
    <n v="0.91879999999999995"/>
    <d v="1899-12-30T11:50:15"/>
    <d v="1899-12-30T17:53:00"/>
    <m/>
    <m/>
    <n v="37.095999999999997"/>
    <m/>
    <s v="6:02:45"/>
    <n v="0"/>
    <n v="37.095999999999997"/>
    <m/>
    <n v="37.095999999999997"/>
  </r>
  <r>
    <n v="110"/>
    <s v="CPRE453"/>
    <s v="CPRE459"/>
    <x v="0"/>
    <s v="Pretty Patches"/>
    <d v="2023-03-07T00:00:00"/>
    <d v="2023-07-13T00:00:00"/>
    <n v="128"/>
    <s v="white"/>
    <x v="1"/>
    <n v="329"/>
    <n v="1"/>
    <n v="2"/>
    <n v="4"/>
    <n v="33.11"/>
    <n v="1.4643999999999999"/>
    <d v="1899-12-30T11:50:15"/>
    <d v="1899-12-30T17:53:00"/>
    <m/>
    <m/>
    <n v="37.095999999999997"/>
    <m/>
    <s v="6:02:45"/>
    <n v="0"/>
    <n v="37.095999999999997"/>
    <m/>
    <n v="37.095999999999997"/>
  </r>
  <r>
    <n v="110"/>
    <s v="CPRE453"/>
    <s v="CPRE459"/>
    <x v="0"/>
    <s v="Pretty Patches"/>
    <d v="2023-03-07T00:00:00"/>
    <d v="2023-07-13T00:00:00"/>
    <n v="128"/>
    <s v="red"/>
    <x v="2"/>
    <n v="360"/>
    <n v="1"/>
    <n v="2"/>
    <n v="5"/>
    <n v="25.16"/>
    <n v="0.61919999999999997"/>
    <d v="1899-12-30T11:50:15"/>
    <d v="1899-12-30T17:53:00"/>
    <m/>
    <m/>
    <n v="37.095999999999997"/>
    <m/>
    <s v="6:02:45"/>
    <n v="0"/>
    <n v="37.095999999999997"/>
    <m/>
    <n v="37.095999999999997"/>
  </r>
  <r>
    <n v="60"/>
    <s v="LCKM159"/>
    <s v="LCKM155"/>
    <x v="1"/>
    <s v="Cockermouth Island"/>
    <d v="2023-01-17T00:00:00"/>
    <d v="2023-06-09T00:00:00"/>
    <n v="143"/>
    <s v="red"/>
    <x v="2"/>
    <n v="128"/>
    <n v="2"/>
    <n v="1"/>
    <n v="2"/>
    <n v="36.85"/>
    <n v="2.1991000000000001"/>
    <d v="1899-12-30T11:33:47"/>
    <d v="1899-12-30T17:42:00"/>
    <n v="37.112000000000002"/>
    <n v="37.1"/>
    <n v="37.124000000000002"/>
    <n v="2.4000000000000909E-2"/>
    <s v="6:08:13"/>
    <n v="2.9250000000000002E-2"/>
    <n v="37.094750000000005"/>
    <n v="-5.2499999999966462E-3"/>
    <n v="37.097375"/>
  </r>
  <r>
    <n v="74"/>
    <s v="LSBI023"/>
    <s v="LCHA118"/>
    <x v="1"/>
    <s v="Chauvel Reef/St. Bee's Island"/>
    <d v="2023-02-01T00:00:00"/>
    <d v="2023-06-09T00:00:00"/>
    <n v="128"/>
    <s v="red"/>
    <x v="2"/>
    <n v="227"/>
    <n v="2"/>
    <n v="4"/>
    <n v="1"/>
    <n v="26.87"/>
    <n v="0.79949999999999999"/>
    <d v="1899-12-30T11:33:47"/>
    <d v="1899-12-30T17:41:00"/>
    <n v="37.112000000000002"/>
    <n v="37.1"/>
    <n v="37.124000000000002"/>
    <n v="2.4000000000000909E-2"/>
    <s v="6:07:13"/>
    <n v="2.9250000000000002E-2"/>
    <n v="37.094750000000005"/>
    <n v="-5.2499999999966462E-3"/>
    <n v="37.097375"/>
  </r>
  <r>
    <n v="74"/>
    <s v="LSBI023"/>
    <s v="LCHA118"/>
    <x v="1"/>
    <s v="Chauvel Reef/St. Bee's Island"/>
    <d v="2023-02-01T00:00:00"/>
    <d v="2023-06-09T00:00:00"/>
    <n v="128"/>
    <s v="red"/>
    <x v="2"/>
    <n v="227"/>
    <n v="2"/>
    <n v="4"/>
    <n v="4"/>
    <n v="33.94"/>
    <n v="1.4585999999999999"/>
    <d v="1899-12-30T11:33:47"/>
    <d v="1899-12-30T17:41:00"/>
    <n v="37.112000000000002"/>
    <n v="37.1"/>
    <n v="37.124000000000002"/>
    <n v="2.4000000000000909E-2"/>
    <s v="6:07:13"/>
    <n v="2.9250000000000002E-2"/>
    <n v="37.094750000000005"/>
    <n v="-5.2499999999966462E-3"/>
    <n v="37.097375"/>
  </r>
  <r>
    <n v="101"/>
    <s v="LSBI028"/>
    <s v="LSBI027"/>
    <x v="1"/>
    <s v="St. Bee's Island"/>
    <d v="2023-02-25T00:00:00"/>
    <d v="2023-07-12T00:00:00"/>
    <n v="137"/>
    <s v="white"/>
    <x v="1"/>
    <n v="248"/>
    <n v="1"/>
    <n v="3"/>
    <n v="1"/>
    <n v="32.83"/>
    <n v="1.3796999999999999"/>
    <d v="1899-12-30T12:13:52"/>
    <d v="1899-12-30T18:23:00"/>
    <m/>
    <m/>
    <n v="37.177999999999997"/>
    <m/>
    <s v="6:09:08"/>
    <n v="8.0199999999999994E-2"/>
    <n v="37.097799999999999"/>
    <m/>
    <n v="37.097799999999999"/>
  </r>
  <r>
    <n v="56"/>
    <s v="CARL217"/>
    <s v="CARL226"/>
    <x v="0"/>
    <s v="Arlington Reef"/>
    <d v="2023-01-12T00:00:00"/>
    <d v="2023-06-01T00:00:00"/>
    <n v="140"/>
    <s v="red"/>
    <x v="0"/>
    <n v="137"/>
    <n v="2"/>
    <n v="4"/>
    <n v="3"/>
    <n v="31.88"/>
    <n v="1.1978"/>
    <d v="1899-12-30T12:17:20"/>
    <d v="1899-12-30T18:29:00"/>
    <n v="37.1"/>
    <n v="37.1"/>
    <s v="na"/>
    <m/>
    <s v="6:11:40"/>
    <s v="na"/>
    <s v="na"/>
    <s v="na"/>
    <n v="37.1"/>
  </r>
  <r>
    <n v="56"/>
    <s v="CARL217"/>
    <s v="CARL226"/>
    <x v="0"/>
    <s v="Arlington Reef"/>
    <d v="2023-01-12T00:00:00"/>
    <d v="2023-06-01T00:00:00"/>
    <n v="140"/>
    <s v="red"/>
    <x v="0"/>
    <n v="137"/>
    <n v="2"/>
    <n v="4"/>
    <n v="1"/>
    <n v="33.24"/>
    <n v="1.3391999999999999"/>
    <d v="1899-12-30T12:17:20"/>
    <d v="1899-12-30T18:29:00"/>
    <n v="37.1"/>
    <n v="37.1"/>
    <s v="na"/>
    <m/>
    <s v="6:11:40"/>
    <s v="na"/>
    <s v="na"/>
    <s v="na"/>
    <n v="37.1"/>
  </r>
  <r>
    <n v="56"/>
    <s v="CARL217"/>
    <s v="CARL226"/>
    <x v="0"/>
    <s v="Arlington Reef"/>
    <d v="2023-01-12T00:00:00"/>
    <d v="2023-06-01T00:00:00"/>
    <n v="140"/>
    <s v="red"/>
    <x v="0"/>
    <n v="137"/>
    <n v="2"/>
    <n v="4"/>
    <n v="4"/>
    <n v="35.47"/>
    <n v="1.7311000000000001"/>
    <d v="1899-12-30T12:17:20"/>
    <d v="1899-12-30T18:29:00"/>
    <n v="37.1"/>
    <n v="37.1"/>
    <s v="na"/>
    <m/>
    <s v="6:11:40"/>
    <s v="na"/>
    <s v="na"/>
    <s v="na"/>
    <n v="37.1"/>
  </r>
  <r>
    <n v="56"/>
    <s v="CARL217"/>
    <s v="CARL226"/>
    <x v="0"/>
    <s v="Arlington Reef"/>
    <d v="2023-01-12T00:00:00"/>
    <d v="2023-06-01T00:00:00"/>
    <n v="140"/>
    <s v="white"/>
    <x v="1"/>
    <n v="253"/>
    <n v="1"/>
    <n v="4"/>
    <n v="3"/>
    <n v="26.4"/>
    <n v="0.56579999999999997"/>
    <d v="1899-12-30T12:17:20"/>
    <d v="1899-12-30T18:29:00"/>
    <n v="37.1"/>
    <n v="37.1"/>
    <s v="na"/>
    <m/>
    <s v="6:11:40"/>
    <s v="na"/>
    <s v="na"/>
    <s v="na"/>
    <n v="37.1"/>
  </r>
  <r>
    <n v="56"/>
    <s v="CARL217"/>
    <s v="CARL226"/>
    <x v="0"/>
    <s v="Arlington Reef"/>
    <d v="2023-01-12T00:00:00"/>
    <d v="2023-06-06T00:00:00"/>
    <n v="145"/>
    <s v="na"/>
    <x v="1"/>
    <n v="131"/>
    <n v="2"/>
    <s v="na"/>
    <s v="na"/>
    <n v="34.51"/>
    <n v="1.5168999999999999"/>
    <d v="1899-12-30T10:33:39"/>
    <d v="1899-12-30T17:09:00"/>
    <s v="na"/>
    <s v="na"/>
    <s v="na"/>
    <s v="na"/>
    <s v="6:35:21"/>
    <s v="na"/>
    <s v="na"/>
    <s v="na"/>
    <n v="37.1"/>
  </r>
  <r>
    <n v="60"/>
    <s v="LCKM159"/>
    <s v="LCKM155"/>
    <x v="1"/>
    <s v="Cockermouth Island"/>
    <d v="2023-01-17T00:00:00"/>
    <d v="2023-06-01T00:00:00"/>
    <n v="135"/>
    <s v="white"/>
    <x v="1"/>
    <n v="152"/>
    <n v="1"/>
    <n v="6"/>
    <n v="3"/>
    <n v="35.520000000000003"/>
    <n v="1.7292000000000001"/>
    <d v="1899-12-30T12:17:20"/>
    <d v="1899-12-30T18:29:00"/>
    <n v="37.1"/>
    <n v="37.1"/>
    <s v="na"/>
    <m/>
    <s v="6:11:40"/>
    <s v="na"/>
    <s v="na"/>
    <s v="na"/>
    <n v="37.1"/>
  </r>
  <r>
    <n v="60"/>
    <s v="LCKM159"/>
    <s v="LCKM155"/>
    <x v="1"/>
    <s v="Cockermouth Island"/>
    <d v="2023-01-17T00:00:00"/>
    <d v="2023-06-01T00:00:00"/>
    <n v="135"/>
    <s v="blue"/>
    <x v="2"/>
    <n v="357"/>
    <n v="1"/>
    <n v="6"/>
    <n v="5"/>
    <n v="26.08"/>
    <n v="0.57110000000000005"/>
    <d v="1899-12-30T12:17:20"/>
    <d v="1899-12-30T18:26:00"/>
    <n v="37.1"/>
    <n v="37.1"/>
    <s v="na"/>
    <m/>
    <s v="6:08:40"/>
    <s v="na"/>
    <s v="na"/>
    <s v="na"/>
    <n v="37.1"/>
  </r>
  <r>
    <n v="69"/>
    <s v="LCKM164"/>
    <s v="LCKM156"/>
    <x v="1"/>
    <s v="Cockermouth Island"/>
    <d v="2023-01-30T00:00:00"/>
    <d v="2023-06-01T00:00:00"/>
    <n v="122"/>
    <s v="red"/>
    <x v="0"/>
    <n v="343"/>
    <n v="1"/>
    <n v="5"/>
    <n v="4"/>
    <n v="30.39"/>
    <n v="0.97109999999999996"/>
    <d v="1899-12-30T12:17:20"/>
    <d v="1899-12-30T18:30:00"/>
    <n v="37.1"/>
    <n v="37.1"/>
    <s v="na"/>
    <m/>
    <s v="6:12:40"/>
    <s v="na"/>
    <s v="na"/>
    <s v="na"/>
    <n v="37.1"/>
  </r>
  <r>
    <n v="69"/>
    <s v="LCKM164"/>
    <s v="LCKM156"/>
    <x v="1"/>
    <s v="Cockermouth Island"/>
    <d v="2023-01-30T00:00:00"/>
    <d v="2023-06-01T00:00:00"/>
    <n v="122"/>
    <s v="red"/>
    <x v="0"/>
    <n v="343"/>
    <n v="1"/>
    <n v="5"/>
    <n v="2"/>
    <n v="32.549999999999997"/>
    <n v="1.2067000000000001"/>
    <d v="1899-12-30T12:17:20"/>
    <m/>
    <n v="37.1"/>
    <n v="37.1"/>
    <s v="na"/>
    <m/>
    <e v="#VALUE!"/>
    <s v="na"/>
    <s v="na"/>
    <s v="na"/>
    <n v="37.1"/>
  </r>
  <r>
    <n v="69"/>
    <s v="LCKM164"/>
    <s v="LCKM156"/>
    <x v="1"/>
    <s v="Cockermouth Island"/>
    <d v="2023-01-30T00:00:00"/>
    <d v="2023-06-01T00:00:00"/>
    <n v="122"/>
    <s v="red"/>
    <x v="0"/>
    <n v="343"/>
    <n v="1"/>
    <n v="5"/>
    <n v="5"/>
    <n v="33.950000000000003"/>
    <n v="1.4866999999999999"/>
    <d v="1899-12-30T12:17:20"/>
    <m/>
    <n v="37.1"/>
    <n v="37.1"/>
    <s v="na"/>
    <m/>
    <e v="#VALUE!"/>
    <s v="na"/>
    <s v="na"/>
    <s v="na"/>
    <n v="37.1"/>
  </r>
  <r>
    <n v="74"/>
    <s v="LSBI023"/>
    <s v="LCHA118"/>
    <x v="1"/>
    <s v="Chauvel Reef/St. Bee's Island"/>
    <d v="2023-02-01T00:00:00"/>
    <d v="2023-06-01T00:00:00"/>
    <n v="120"/>
    <s v="red"/>
    <x v="0"/>
    <n v="241"/>
    <n v="1"/>
    <n v="1"/>
    <n v="4"/>
    <n v="32.47"/>
    <n v="1.2492000000000001"/>
    <d v="1899-12-30T12:17:20"/>
    <d v="1899-12-30T18:27:00"/>
    <n v="37.1"/>
    <n v="37.1"/>
    <s v="na"/>
    <m/>
    <s v="6:09:40"/>
    <s v="na"/>
    <s v="na"/>
    <s v="na"/>
    <n v="37.1"/>
  </r>
  <r>
    <n v="74"/>
    <s v="LSBI023"/>
    <s v="LCHA118"/>
    <x v="1"/>
    <s v="Chauvel Reef/St. Bee's Island"/>
    <d v="2023-02-01T00:00:00"/>
    <d v="2023-06-09T00:00:00"/>
    <n v="128"/>
    <s v="blue"/>
    <x v="0"/>
    <n v="144"/>
    <n v="1"/>
    <n v="4"/>
    <n v="4"/>
    <n v="34.93"/>
    <n v="1.7807999999999999"/>
    <d v="1899-12-30T11:33:47"/>
    <d v="1899-12-30T17:36:00"/>
    <n v="37.1"/>
    <n v="37.1"/>
    <s v="na"/>
    <m/>
    <s v="6:02:13"/>
    <n v="2.9250000000000002E-2"/>
    <m/>
    <m/>
    <n v="37.1"/>
  </r>
  <r>
    <n v="74"/>
    <s v="LSBI023"/>
    <s v="LCHA118"/>
    <x v="1"/>
    <s v="Chauvel Reef/St. Bee's Island"/>
    <d v="2023-02-01T00:00:00"/>
    <d v="2023-06-01T00:00:00"/>
    <n v="120"/>
    <s v="white"/>
    <x v="1"/>
    <n v="230"/>
    <n v="1"/>
    <n v="1"/>
    <n v="2"/>
    <n v="36.78"/>
    <n v="1.8984000000000001"/>
    <d v="1899-12-30T12:17:20"/>
    <m/>
    <n v="37.1"/>
    <n v="37.1"/>
    <s v="na"/>
    <m/>
    <e v="#VALUE!"/>
    <s v="na"/>
    <s v="na"/>
    <s v="na"/>
    <n v="37.1"/>
  </r>
  <r>
    <n v="75"/>
    <s v="LSBI034"/>
    <s v="LCHA120"/>
    <x v="1"/>
    <s v="Chauvel Reef/St. Bee's Island"/>
    <d v="2023-02-02T00:00:00"/>
    <d v="2023-06-01T00:00:00"/>
    <n v="119"/>
    <s v="red"/>
    <x v="0"/>
    <n v="348"/>
    <n v="1"/>
    <n v="2"/>
    <n v="3"/>
    <n v="27.8"/>
    <n v="0.67030000000000001"/>
    <d v="1899-12-30T12:17:20"/>
    <m/>
    <n v="37.1"/>
    <n v="37.1"/>
    <s v="na"/>
    <m/>
    <e v="#VALUE!"/>
    <s v="na"/>
    <s v="na"/>
    <s v="na"/>
    <n v="37.1"/>
  </r>
  <r>
    <n v="75"/>
    <s v="LSBI034"/>
    <s v="LCHA120"/>
    <x v="1"/>
    <s v="Chauvel Reef/St. Bee's Island"/>
    <d v="2023-02-02T00:00:00"/>
    <d v="2023-06-01T00:00:00"/>
    <n v="119"/>
    <s v="red"/>
    <x v="0"/>
    <n v="348"/>
    <n v="1"/>
    <n v="2"/>
    <n v="4"/>
    <n v="28.01"/>
    <n v="0.76190000000000002"/>
    <d v="1899-12-30T12:17:20"/>
    <m/>
    <n v="37.1"/>
    <n v="37.1"/>
    <s v="na"/>
    <m/>
    <e v="#VALUE!"/>
    <s v="na"/>
    <s v="na"/>
    <s v="na"/>
    <n v="37.1"/>
  </r>
  <r>
    <n v="75"/>
    <s v="LSBI034"/>
    <s v="LCHA120"/>
    <x v="1"/>
    <s v="Chauvel Reef/St. Bee's Island"/>
    <d v="2023-02-02T00:00:00"/>
    <d v="2023-06-01T00:00:00"/>
    <n v="119"/>
    <s v="white"/>
    <x v="1"/>
    <n v="351"/>
    <n v="1"/>
    <n v="2"/>
    <n v="4"/>
    <n v="30.3"/>
    <n v="0.96319999999999995"/>
    <d v="1899-12-30T12:17:20"/>
    <m/>
    <n v="37.1"/>
    <n v="37.1"/>
    <s v="na"/>
    <m/>
    <e v="#VALUE!"/>
    <s v="na"/>
    <s v="na"/>
    <s v="na"/>
    <n v="37.1"/>
  </r>
  <r>
    <n v="87"/>
    <s v="CRUS426"/>
    <s v="CRUS360"/>
    <x v="0"/>
    <s v="Russel Island"/>
    <d v="2023-02-16T00:00:00"/>
    <d v="2023-06-16T00:00:00"/>
    <n v="120"/>
    <s v="na"/>
    <x v="2"/>
    <n v="358"/>
    <n v="2"/>
    <s v="na"/>
    <s v="na"/>
    <n v="30.63"/>
    <n v="1.1012999999999999"/>
    <d v="1899-12-30T12:00:00"/>
    <d v="1899-12-30T18:05:00"/>
    <s v="na"/>
    <s v="na"/>
    <s v="na"/>
    <s v="na"/>
    <s v="6:05:0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red"/>
    <x v="0"/>
    <n v="138"/>
    <n v="2"/>
    <n v="3"/>
    <n v="1"/>
    <n v="26.74"/>
    <n v="0.68899999999999995"/>
    <d v="1899-12-30T12:17:20"/>
    <d v="1899-12-30T18:23:00"/>
    <n v="37.1"/>
    <n v="37.1"/>
    <s v="na"/>
    <m/>
    <s v="6:05:4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red"/>
    <x v="0"/>
    <n v="138"/>
    <n v="2"/>
    <n v="3"/>
    <n v="4"/>
    <n v="30.04"/>
    <n v="0.9012"/>
    <d v="1899-12-30T12:17:20"/>
    <d v="1899-12-30T18:28:00"/>
    <n v="37.1"/>
    <n v="37.1"/>
    <s v="na"/>
    <m/>
    <s v="6:10:4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red"/>
    <x v="0"/>
    <n v="138"/>
    <n v="2"/>
    <n v="3"/>
    <n v="2"/>
    <n v="29.14"/>
    <n v="0.92569999999999997"/>
    <d v="1899-12-30T12:17:20"/>
    <d v="1899-12-30T18:28:00"/>
    <n v="37.1"/>
    <n v="37.1"/>
    <s v="na"/>
    <m/>
    <s v="6:10:4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red"/>
    <x v="0"/>
    <n v="138"/>
    <n v="2"/>
    <n v="3"/>
    <n v="5"/>
    <n v="29.87"/>
    <n v="0.98699999999999999"/>
    <d v="1899-12-30T12:17:20"/>
    <m/>
    <n v="37.1"/>
    <n v="37.1"/>
    <s v="na"/>
    <m/>
    <e v="#VALUE!"/>
    <s v="na"/>
    <s v="na"/>
    <s v="na"/>
    <n v="37.1"/>
  </r>
  <r>
    <n v="89"/>
    <s v="LCKM159"/>
    <s v="LCKM155"/>
    <x v="1"/>
    <s v="Cockermouth Island"/>
    <d v="2023-02-10T00:00:00"/>
    <d v="2023-06-16T00:00:00"/>
    <n v="126"/>
    <s v="na"/>
    <x v="0"/>
    <n v="246"/>
    <n v="1"/>
    <s v="na"/>
    <s v="na"/>
    <n v="33.590000000000003"/>
    <n v="1.4248000000000001"/>
    <d v="1899-12-30T12:00:00"/>
    <d v="1899-12-30T18:05:00"/>
    <s v="na"/>
    <s v="na"/>
    <s v="na"/>
    <s v="na"/>
    <s v="6:05:0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white"/>
    <x v="1"/>
    <n v="132"/>
    <n v="2"/>
    <n v="3"/>
    <n v="2"/>
    <n v="32.450000000000003"/>
    <n v="1.1714"/>
    <d v="1899-12-30T12:17:20"/>
    <d v="1899-12-30T18:22:00"/>
    <n v="37.1"/>
    <n v="37.1"/>
    <s v="na"/>
    <m/>
    <s v="6:04:4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white"/>
    <x v="1"/>
    <n v="132"/>
    <n v="2"/>
    <n v="3"/>
    <n v="4"/>
    <n v="36.42"/>
    <n v="1.7766999999999999"/>
    <d v="1899-12-30T12:17:20"/>
    <d v="1899-12-30T18:28:00"/>
    <n v="37.1"/>
    <n v="37.1"/>
    <s v="na"/>
    <m/>
    <s v="6:10:40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white"/>
    <x v="1"/>
    <n v="132"/>
    <n v="2"/>
    <n v="3"/>
    <n v="5"/>
    <n v="41.43"/>
    <n v="2.1825999999999999"/>
    <d v="1899-12-30T12:17:20"/>
    <m/>
    <n v="37.1"/>
    <n v="37.1"/>
    <s v="na"/>
    <m/>
    <e v="#VALUE!"/>
    <s v="na"/>
    <s v="na"/>
    <s v="na"/>
    <n v="37.1"/>
  </r>
  <r>
    <n v="89"/>
    <s v="LCKM159"/>
    <s v="LCKM155"/>
    <x v="1"/>
    <s v="Cockermouth Island"/>
    <d v="2023-02-10T00:00:00"/>
    <d v="2023-06-01T00:00:00"/>
    <n v="111"/>
    <s v="white"/>
    <x v="1"/>
    <n v="132"/>
    <n v="2"/>
    <n v="3"/>
    <n v="1"/>
    <n v="42.88"/>
    <n v="2.6554000000000002"/>
    <d v="1899-12-30T12:17:20"/>
    <m/>
    <n v="37.1"/>
    <n v="37.1"/>
    <s v="na"/>
    <m/>
    <e v="#VALUE!"/>
    <s v="na"/>
    <s v="na"/>
    <s v="na"/>
    <n v="37.1"/>
  </r>
  <r>
    <n v="108"/>
    <s v="CARL369"/>
    <s v="CARL349"/>
    <x v="0"/>
    <s v="Arlington Reef"/>
    <d v="2023-03-05T00:00:00"/>
    <d v="2023-07-11T00:00:00"/>
    <n v="128"/>
    <s v="na"/>
    <x v="2"/>
    <n v="254"/>
    <n v="1"/>
    <s v="na"/>
    <s v="na"/>
    <n v="35.61"/>
    <n v="1.7341"/>
    <d v="1899-12-30T13:18:00"/>
    <d v="1899-12-30T19:30:00"/>
    <s v="na"/>
    <s v="na"/>
    <s v="na"/>
    <s v="na"/>
    <s v="6:12:00"/>
    <s v="na"/>
    <s v="na"/>
    <s v="na"/>
    <n v="37.1"/>
  </r>
  <r>
    <n v="108"/>
    <s v="CARL369"/>
    <s v="CARL349"/>
    <x v="0"/>
    <s v="Arlington Reef"/>
    <d v="2023-03-05T00:00:00"/>
    <d v="2023-07-13T00:00:00"/>
    <n v="130"/>
    <s v="blue"/>
    <x v="0"/>
    <n v="236"/>
    <n v="1"/>
    <n v="3"/>
    <n v="2"/>
    <n v="29.85"/>
    <n v="0.96040000000000003"/>
    <d v="1899-12-30T11:50:15"/>
    <d v="1899-12-30T17:54:00"/>
    <m/>
    <m/>
    <n v="37.124000000000002"/>
    <m/>
    <s v="6:03:45"/>
    <n v="2.3E-2"/>
    <n v="37.100999999999999"/>
    <m/>
    <n v="37.100999999999999"/>
  </r>
  <r>
    <n v="108"/>
    <s v="CARL369"/>
    <s v="CARL349"/>
    <x v="0"/>
    <s v="Arlington Reef"/>
    <d v="2023-03-05T00:00:00"/>
    <d v="2023-07-13T00:00:00"/>
    <n v="130"/>
    <s v="white"/>
    <x v="1"/>
    <n v="330"/>
    <n v="2"/>
    <n v="3"/>
    <n v="3"/>
    <n v="32.85"/>
    <n v="1.4711000000000001"/>
    <d v="1899-12-30T11:50:15"/>
    <d v="1899-12-30T17:54:00"/>
    <m/>
    <m/>
    <n v="37.124000000000002"/>
    <m/>
    <s v="6:03:45"/>
    <n v="2.3E-2"/>
    <n v="37.100999999999999"/>
    <m/>
    <n v="37.100999999999999"/>
  </r>
  <r>
    <n v="120"/>
    <s v="CPRE550"/>
    <s v="CPRE533"/>
    <x v="0"/>
    <s v="Pretty Patches"/>
    <d v="2023-03-21T00:00:00"/>
    <d v="2023-07-12T00:00:00"/>
    <n v="113"/>
    <s v="blue"/>
    <x v="2"/>
    <n v="326"/>
    <n v="2"/>
    <n v="1"/>
    <n v="2"/>
    <n v="39.1"/>
    <n v="2.7347999999999999"/>
    <d v="1899-12-30T12:13:52"/>
    <d v="1899-12-30T18:27:00"/>
    <m/>
    <m/>
    <n v="37.232999999999997"/>
    <m/>
    <s v="6:13:08"/>
    <n v="0.11700000000000001"/>
    <n v="37.116"/>
    <m/>
    <n v="37.116"/>
  </r>
  <r>
    <n v="120"/>
    <s v="CPRE550"/>
    <s v="CPRE533"/>
    <x v="0"/>
    <s v="Pretty Patches"/>
    <d v="2023-03-21T00:00:00"/>
    <d v="2023-07-14T00:00:00"/>
    <n v="115"/>
    <s v="na"/>
    <x v="1"/>
    <n v="154"/>
    <n v="1"/>
    <s v="na"/>
    <s v="na"/>
    <n v="33.54"/>
    <n v="1.4524999999999999"/>
    <d v="1899-12-30T11:30:00"/>
    <d v="1899-12-30T17:44:00"/>
    <s v="na"/>
    <s v="na"/>
    <s v="na"/>
    <s v="na"/>
    <s v="6:14:00"/>
    <s v="na"/>
    <s v="na"/>
    <s v="na"/>
    <n v="37.119999999999997"/>
  </r>
  <r>
    <n v="87"/>
    <s v="CRUS426"/>
    <s v="CRUS360"/>
    <x v="0"/>
    <s v="Russel Island"/>
    <d v="2023-02-16T00:00:00"/>
    <d v="2023-06-09T00:00:00"/>
    <n v="113"/>
    <s v="white"/>
    <x v="1"/>
    <n v="150"/>
    <n v="1"/>
    <n v="2"/>
    <n v="5"/>
    <n v="28.19"/>
    <n v="0.95650000000000002"/>
    <d v="1899-12-30T11:33:47"/>
    <d v="1899-12-30T17:45:30"/>
    <n v="37.159999999999997"/>
    <n v="37.1"/>
    <n v="37.22"/>
    <n v="0.11999999999999744"/>
    <s v="6:11:43"/>
    <n v="7.5999999999999998E-2"/>
    <n v="37.143999999999998"/>
    <n v="4.399999999999693E-2"/>
    <n v="37.122"/>
  </r>
  <r>
    <n v="87"/>
    <s v="CRUS426"/>
    <s v="CRUS360"/>
    <x v="0"/>
    <s v="Russel Island"/>
    <d v="2023-02-16T00:00:00"/>
    <d v="2023-06-09T00:00:00"/>
    <n v="113"/>
    <s v="white"/>
    <x v="1"/>
    <n v="150"/>
    <n v="1"/>
    <n v="2"/>
    <n v="4"/>
    <n v="32.729999999999997"/>
    <n v="1.3606"/>
    <d v="1899-12-30T11:33:47"/>
    <d v="1899-12-30T17:45:30"/>
    <n v="37.159999999999997"/>
    <n v="37.1"/>
    <n v="37.22"/>
    <n v="0.11999999999999744"/>
    <s v="6:11:43"/>
    <n v="7.5999999999999998E-2"/>
    <n v="37.143999999999998"/>
    <n v="4.399999999999693E-2"/>
    <n v="37.122"/>
  </r>
  <r>
    <n v="87"/>
    <s v="CRUS426"/>
    <s v="CRUS360"/>
    <x v="0"/>
    <s v="Russel Island"/>
    <d v="2023-02-16T00:00:00"/>
    <d v="2023-06-09T00:00:00"/>
    <n v="113"/>
    <s v="white"/>
    <x v="1"/>
    <n v="150"/>
    <n v="1"/>
    <n v="2"/>
    <n v="3"/>
    <n v="37.5"/>
    <n v="2.2504"/>
    <d v="1899-12-30T11:33:47"/>
    <d v="1899-12-30T17:45:30"/>
    <n v="37.159999999999997"/>
    <n v="37.1"/>
    <n v="37.22"/>
    <n v="0.11999999999999744"/>
    <s v="6:11:43"/>
    <n v="7.5999999999999998E-2"/>
    <n v="37.143999999999998"/>
    <n v="4.399999999999693E-2"/>
    <n v="37.122"/>
  </r>
  <r>
    <n v="87"/>
    <s v="CRUS426"/>
    <s v="CRUS360"/>
    <x v="0"/>
    <s v="Russel Island"/>
    <d v="2023-02-16T00:00:00"/>
    <d v="2023-06-09T00:00:00"/>
    <n v="113"/>
    <s v="red"/>
    <x v="2"/>
    <n v="125"/>
    <n v="1"/>
    <n v="2"/>
    <n v="2"/>
    <n v="34.549999999999997"/>
    <n v="0.64510000000000001"/>
    <d v="1899-12-30T11:33:47"/>
    <d v="1899-12-30T17:45:30"/>
    <n v="37.159999999999997"/>
    <n v="37.1"/>
    <n v="37.22"/>
    <n v="0.11999999999999744"/>
    <s v="6:11:43"/>
    <n v="7.5999999999999998E-2"/>
    <n v="37.143999999999998"/>
    <n v="4.399999999999693E-2"/>
    <n v="37.122"/>
  </r>
  <r>
    <n v="56"/>
    <s v="CARL217"/>
    <s v="CARL226"/>
    <x v="0"/>
    <s v="Arlington Reef"/>
    <d v="2023-01-12T00:00:00"/>
    <d v="2023-06-06T00:00:00"/>
    <n v="145"/>
    <s v="na"/>
    <x v="1"/>
    <n v="131"/>
    <n v="2"/>
    <s v="na"/>
    <s v="na"/>
    <n v="34.54"/>
    <n v="1.6646000000000001"/>
    <d v="1899-12-30T10:33:39"/>
    <d v="1899-12-30T17:05:00"/>
    <s v="na"/>
    <s v="na"/>
    <s v="na"/>
    <s v="na"/>
    <s v="6:31:21"/>
    <s v="na"/>
    <s v="na"/>
    <s v="na"/>
    <n v="37.130000000000003"/>
  </r>
  <r>
    <n v="60"/>
    <s v="LCKM159"/>
    <s v="LCKM155"/>
    <x v="1"/>
    <s v="Cockermouth Island"/>
    <d v="2023-01-17T00:00:00"/>
    <d v="2023-06-06T00:00:00"/>
    <n v="140"/>
    <s v="na"/>
    <x v="2"/>
    <n v="128"/>
    <n v="2"/>
    <s v="na"/>
    <s v="na"/>
    <n v="28.33"/>
    <n v="0.85760000000000003"/>
    <d v="1899-12-30T10:33:39"/>
    <d v="1899-12-30T17:03:00"/>
    <s v="na"/>
    <s v="na"/>
    <s v="na"/>
    <s v="na"/>
    <s v="6:29:21"/>
    <s v="na"/>
    <s v="na"/>
    <s v="na"/>
    <n v="37.130000000000003"/>
  </r>
  <r>
    <n v="65"/>
    <s v="LSBI028"/>
    <s v="LSBI027"/>
    <x v="1"/>
    <s v="St. Bee's Island"/>
    <d v="2023-01-27T00:00:00"/>
    <d v="2023-06-06T00:00:00"/>
    <n v="130"/>
    <s v="na"/>
    <x v="1"/>
    <n v="232"/>
    <n v="2"/>
    <s v="na"/>
    <s v="na"/>
    <n v="26.28"/>
    <n v="0.73329999999999995"/>
    <d v="1899-12-30T10:33:39"/>
    <d v="1899-12-30T17:07:00"/>
    <s v="na"/>
    <s v="na"/>
    <s v="na"/>
    <s v="na"/>
    <s v="6:33:21"/>
    <s v="na"/>
    <s v="na"/>
    <s v="na"/>
    <n v="37.130000000000003"/>
  </r>
  <r>
    <n v="65"/>
    <s v="LSBI028"/>
    <s v="LSBI027"/>
    <x v="1"/>
    <s v="St. Bee's Island"/>
    <d v="2023-01-27T00:00:00"/>
    <d v="2023-06-06T00:00:00"/>
    <n v="130"/>
    <s v="na"/>
    <x v="1"/>
    <n v="232"/>
    <n v="2"/>
    <s v="na"/>
    <s v="na"/>
    <n v="34.89"/>
    <n v="1.6669"/>
    <d v="1899-12-30T10:33:39"/>
    <d v="1899-12-30T17:05:00"/>
    <s v="na"/>
    <s v="na"/>
    <s v="na"/>
    <s v="na"/>
    <s v="6:31:21"/>
    <s v="na"/>
    <s v="na"/>
    <s v="na"/>
    <n v="37.130000000000003"/>
  </r>
  <r>
    <n v="69"/>
    <s v="LCKM164"/>
    <s v="LCKM156"/>
    <x v="1"/>
    <s v="Cockermouth Island"/>
    <d v="2023-01-30T00:00:00"/>
    <d v="2023-06-06T00:00:00"/>
    <n v="127"/>
    <s v="na"/>
    <x v="1"/>
    <n v="129"/>
    <n v="2"/>
    <s v="na"/>
    <s v="na"/>
    <n v="27.95"/>
    <n v="0.85329999999999995"/>
    <d v="1899-12-30T10:33:39"/>
    <d v="1899-12-30T17:07:00"/>
    <s v="na"/>
    <s v="na"/>
    <s v="na"/>
    <s v="na"/>
    <s v="6:33:21"/>
    <s v="na"/>
    <s v="na"/>
    <s v="na"/>
    <n v="37.130000000000003"/>
  </r>
  <r>
    <n v="69"/>
    <s v="LCKM164"/>
    <s v="LCKM156"/>
    <x v="1"/>
    <s v="Cockermouth Island"/>
    <d v="2023-01-30T00:00:00"/>
    <d v="2023-06-06T00:00:00"/>
    <n v="127"/>
    <s v="na"/>
    <x v="1"/>
    <n v="129"/>
    <n v="2"/>
    <s v="na"/>
    <s v="na"/>
    <n v="32.729999999999997"/>
    <n v="1.3666"/>
    <d v="1899-12-30T10:33:39"/>
    <d v="1899-12-30T17:05:00"/>
    <s v="na"/>
    <s v="na"/>
    <s v="na"/>
    <s v="na"/>
    <s v="6:31:21"/>
    <s v="na"/>
    <s v="na"/>
    <s v="na"/>
    <n v="37.130000000000003"/>
  </r>
  <r>
    <n v="108"/>
    <s v="CARL369"/>
    <s v="CARL349"/>
    <x v="0"/>
    <s v="Arlington Reef"/>
    <d v="2023-03-05T00:00:00"/>
    <d v="2023-07-11T00:00:00"/>
    <n v="128"/>
    <s v="na"/>
    <x v="2"/>
    <n v="254"/>
    <n v="1"/>
    <s v="na"/>
    <s v="na"/>
    <n v="32.14"/>
    <n v="1.3871"/>
    <d v="1899-12-30T13:18:00"/>
    <d v="1899-12-30T19:32:00"/>
    <s v="na"/>
    <s v="na"/>
    <s v="na"/>
    <s v="na"/>
    <s v="6:14:00"/>
    <s v="na"/>
    <s v="na"/>
    <s v="na"/>
    <n v="37.130000000000003"/>
  </r>
  <r>
    <n v="120"/>
    <s v="CPRE550"/>
    <s v="CPRE533"/>
    <x v="0"/>
    <s v="Pretty Patches"/>
    <d v="2023-03-21T00:00:00"/>
    <d v="2023-07-11T00:00:00"/>
    <n v="112"/>
    <s v="na"/>
    <x v="1"/>
    <n v="154"/>
    <n v="1"/>
    <s v="na"/>
    <s v="na"/>
    <n v="34.1"/>
    <n v="1.4384999999999999"/>
    <d v="1899-12-30T13:18:00"/>
    <d v="1899-12-30T19:32:00"/>
    <s v="na"/>
    <s v="na"/>
    <s v="na"/>
    <s v="na"/>
    <s v="6:14:00"/>
    <s v="na"/>
    <s v="na"/>
    <s v="na"/>
    <n v="37.130000000000003"/>
  </r>
  <r>
    <n v="65"/>
    <s v="LSBI028"/>
    <s v="LSBI027"/>
    <x v="1"/>
    <s v="St. Bee's Island"/>
    <d v="2023-01-27T00:00:00"/>
    <d v="2023-06-06T00:00:00"/>
    <n v="130"/>
    <s v="blue"/>
    <x v="0"/>
    <n v="341"/>
    <n v="2"/>
    <n v="5"/>
    <n v="5"/>
    <n v="34.69"/>
    <n v="1.5532999999999999"/>
    <d v="1899-12-30T10:33:39"/>
    <d v="1899-12-30T17:18:00"/>
    <n v="37.189"/>
    <n v="37.200000000000003"/>
    <n v="37.177999999999997"/>
    <n v="-2.2000000000005571E-2"/>
    <s v="6:44:21"/>
    <n v="0.10340000000000001"/>
    <n v="37.074599999999997"/>
    <n v="-0.12540000000000617"/>
    <n v="37.137299999999996"/>
  </r>
  <r>
    <n v="65"/>
    <s v="LSBI028"/>
    <s v="LSBI027"/>
    <x v="1"/>
    <s v="St. Bee's Island"/>
    <d v="2023-01-27T00:00:00"/>
    <d v="2023-06-06T00:00:00"/>
    <n v="130"/>
    <s v="white"/>
    <x v="1"/>
    <n v="232"/>
    <n v="2"/>
    <n v="5"/>
    <n v="2"/>
    <n v="26.28"/>
    <n v="0.73329999999999995"/>
    <d v="1899-12-30T10:33:39"/>
    <d v="1899-12-30T17:18:00"/>
    <n v="37.189"/>
    <n v="37.200000000000003"/>
    <n v="37.177999999999997"/>
    <n v="-2.2000000000005571E-2"/>
    <s v="6:44:21"/>
    <n v="0.10340000000000001"/>
    <n v="37.074599999999997"/>
    <n v="-0.12540000000000617"/>
    <n v="37.137299999999996"/>
  </r>
  <r>
    <n v="65"/>
    <s v="LSBI028"/>
    <s v="LSBI027"/>
    <x v="1"/>
    <s v="St. Bee's Island"/>
    <d v="2023-01-27T00:00:00"/>
    <d v="2023-06-06T00:00:00"/>
    <n v="130"/>
    <s v="white"/>
    <x v="1"/>
    <n v="232"/>
    <n v="2"/>
    <n v="5"/>
    <n v="5"/>
    <n v="31.5"/>
    <n v="1.2430000000000001"/>
    <d v="1899-12-30T10:33:39"/>
    <d v="1899-12-30T17:18:00"/>
    <n v="37.189"/>
    <n v="37.200000000000003"/>
    <n v="37.177999999999997"/>
    <n v="-2.2000000000005571E-2"/>
    <s v="6:44:21"/>
    <n v="0.10340000000000001"/>
    <n v="37.074599999999997"/>
    <n v="-0.12540000000000617"/>
    <n v="37.137299999999996"/>
  </r>
  <r>
    <n v="56"/>
    <s v="CARL217"/>
    <s v="CARL226"/>
    <x v="0"/>
    <s v="Arlington Reef"/>
    <d v="2023-01-12T00:00:00"/>
    <d v="2023-06-01T00:00:00"/>
    <n v="140"/>
    <s v="na"/>
    <x v="0"/>
    <n v="137"/>
    <n v="2"/>
    <s v="na"/>
    <s v="na"/>
    <n v="35.35"/>
    <n v="1.6737"/>
    <d v="1899-12-30T12:17:20"/>
    <d v="1899-12-30T18:33:00"/>
    <s v="na"/>
    <s v="na"/>
    <s v="na"/>
    <s v="na"/>
    <s v="6:15:40"/>
    <s v="na"/>
    <s v="na"/>
    <s v="na"/>
    <n v="37.14"/>
  </r>
  <r>
    <n v="56"/>
    <s v="CARL217"/>
    <s v="CARL226"/>
    <x v="0"/>
    <s v="Arlington Reef"/>
    <d v="2023-01-12T00:00:00"/>
    <d v="2023-06-01T00:00:00"/>
    <n v="140"/>
    <s v="na"/>
    <x v="2"/>
    <n v="158"/>
    <n v="1"/>
    <s v="na"/>
    <s v="na"/>
    <n v="31.4"/>
    <n v="1.3004"/>
    <d v="1899-12-30T12:17:20"/>
    <d v="1899-12-30T18:40:00"/>
    <s v="na"/>
    <s v="na"/>
    <s v="na"/>
    <s v="na"/>
    <s v="6:22:40"/>
    <s v="na"/>
    <s v="na"/>
    <s v="na"/>
    <n v="37.14"/>
  </r>
  <r>
    <n v="60"/>
    <s v="LCKM159"/>
    <s v="LCKM155"/>
    <x v="1"/>
    <s v="Cockermouth Island"/>
    <d v="2023-01-17T00:00:00"/>
    <d v="2023-06-01T00:00:00"/>
    <n v="135"/>
    <s v="na"/>
    <x v="1"/>
    <n v="152"/>
    <n v="1"/>
    <s v="na"/>
    <s v="na"/>
    <n v="32.549999999999997"/>
    <n v="1.2987"/>
    <d v="1899-12-30T12:17:20"/>
    <d v="1899-12-30T18:33:00"/>
    <s v="na"/>
    <s v="na"/>
    <s v="na"/>
    <s v="na"/>
    <s v="6:15:40"/>
    <s v="na"/>
    <s v="na"/>
    <s v="na"/>
    <n v="37.14"/>
  </r>
  <r>
    <n v="75"/>
    <s v="LSBI034"/>
    <s v="LCHA120"/>
    <x v="1"/>
    <s v="Chauvel Reef/St. Bee's Island"/>
    <d v="2023-02-02T00:00:00"/>
    <d v="2023-06-01T00:00:00"/>
    <n v="119"/>
    <s v="na"/>
    <x v="1"/>
    <n v="351"/>
    <n v="1"/>
    <s v="na"/>
    <s v="na"/>
    <n v="27.78"/>
    <n v="0.73380000000000001"/>
    <d v="1899-12-30T12:17:20"/>
    <d v="1899-12-30T18:33:00"/>
    <s v="na"/>
    <s v="na"/>
    <s v="na"/>
    <s v="na"/>
    <s v="6:15:40"/>
    <s v="na"/>
    <s v="na"/>
    <s v="na"/>
    <n v="37.14"/>
  </r>
  <r>
    <n v="90"/>
    <s v="CSAT265"/>
    <s v="CSAT264"/>
    <x v="0"/>
    <s v="Satellite Reef"/>
    <d v="2023-02-20T00:00:00"/>
    <d v="2023-07-06T00:00:00"/>
    <n v="136"/>
    <s v="blue"/>
    <x v="2"/>
    <n v="356"/>
    <n v="2"/>
    <n v="1"/>
    <n v="5"/>
    <n v="32.590000000000003"/>
    <n v="1.5827"/>
    <d v="1899-12-30T11:43:22"/>
    <d v="1899-12-30T17:55:00"/>
    <m/>
    <n v="37.1"/>
    <n v="37.287999999999997"/>
    <n v="0.18799999999999528"/>
    <s v="6:11:38"/>
    <n v="0.10299999999999999"/>
    <n v="37.184999999999995"/>
    <n v="8.4999999999993747E-2"/>
    <n v="37.142499999999998"/>
  </r>
  <r>
    <n v="107"/>
    <s v="CPRE521"/>
    <s v="CPRE524"/>
    <x v="0"/>
    <s v="Pretty Patches"/>
    <d v="2023-03-05T00:00:00"/>
    <d v="2023-07-13T00:00:00"/>
    <n v="130"/>
    <s v="blue"/>
    <x v="0"/>
    <n v="247"/>
    <n v="1"/>
    <n v="6"/>
    <n v="3"/>
    <n v="35.729999999999997"/>
    <n v="1.8968"/>
    <d v="1899-12-30T11:50:15"/>
    <d v="1899-12-30T18:03:00"/>
    <m/>
    <n v="37.200000000000003"/>
    <n v="37.142000000000003"/>
    <n v="-5.7999999999999829E-2"/>
    <s v="6:12:45"/>
    <n v="5.5E-2"/>
    <n v="37.087000000000003"/>
    <n v="-0.11299999999999955"/>
    <n v="37.143500000000003"/>
  </r>
  <r>
    <n v="107"/>
    <s v="CPRE521"/>
    <s v="CPRE524"/>
    <x v="0"/>
    <s v="Pretty Patches"/>
    <d v="2023-03-05T00:00:00"/>
    <d v="2023-07-13T00:00:00"/>
    <n v="130"/>
    <s v="red"/>
    <x v="2"/>
    <n v="159"/>
    <n v="1"/>
    <n v="6"/>
    <n v="1"/>
    <n v="34.950000000000003"/>
    <n v="1.7019"/>
    <d v="1899-12-30T11:50:15"/>
    <d v="1899-12-30T18:03:00"/>
    <m/>
    <n v="37.200000000000003"/>
    <n v="37.142000000000003"/>
    <n v="-5.7999999999999829E-2"/>
    <s v="6:12:45"/>
    <n v="5.5E-2"/>
    <n v="37.087000000000003"/>
    <n v="-0.11299999999999955"/>
    <n v="37.143500000000003"/>
  </r>
  <r>
    <n v="110"/>
    <s v="CPRE453"/>
    <s v="CPRE459"/>
    <x v="0"/>
    <s v="Pretty Patches"/>
    <d v="2023-03-07T00:00:00"/>
    <d v="2023-07-12T00:00:00"/>
    <n v="127"/>
    <s v="white"/>
    <x v="1"/>
    <n v="151"/>
    <n v="2"/>
    <n v="2"/>
    <n v="3"/>
    <n v="32.32"/>
    <n v="1.3884000000000001"/>
    <d v="1899-12-30T12:13:52"/>
    <d v="1899-12-30T18:22:00"/>
    <m/>
    <m/>
    <n v="37.201999999999998"/>
    <m/>
    <s v="6:08:08"/>
    <n v="5.6599999999999998E-2"/>
    <n v="37.145399999999995"/>
    <m/>
    <n v="37.145399999999995"/>
  </r>
  <r>
    <n v="107"/>
    <s v="CPRE521"/>
    <s v="CPRE524"/>
    <x v="0"/>
    <s v="Pretty Patches"/>
    <d v="2023-03-05T00:00:00"/>
    <d v="2023-07-06T00:00:00"/>
    <n v="123"/>
    <s v="blue"/>
    <x v="2"/>
    <n v="123"/>
    <n v="2"/>
    <n v="3"/>
    <n v="1"/>
    <n v="28.35"/>
    <n v="0.91979999999999995"/>
    <d v="1899-12-30T11:43:22"/>
    <d v="1899-12-30T17:56:00"/>
    <m/>
    <n v="37.1"/>
    <n v="37.314999999999998"/>
    <n v="0.21499999999999631"/>
    <s v="6:12:38"/>
    <n v="0.124"/>
    <n v="37.190999999999995"/>
    <n v="9.0999999999993975E-2"/>
    <n v="37.145499999999998"/>
  </r>
  <r>
    <n v="107"/>
    <s v="CPRE521"/>
    <s v="CPRE524"/>
    <x v="0"/>
    <s v="Pretty Patches"/>
    <d v="2023-03-05T00:00:00"/>
    <d v="2023-07-06T00:00:00"/>
    <n v="123"/>
    <s v="blue"/>
    <x v="2"/>
    <n v="123"/>
    <n v="2"/>
    <n v="3"/>
    <n v="5"/>
    <n v="33"/>
    <n v="1.5561"/>
    <d v="1899-12-30T11:43:22"/>
    <d v="1899-12-30T17:56:00"/>
    <m/>
    <n v="37.1"/>
    <n v="37.314999999999998"/>
    <n v="0.21499999999999631"/>
    <s v="6:12:38"/>
    <n v="0.124"/>
    <n v="37.190999999999995"/>
    <n v="9.0999999999993975E-2"/>
    <n v="37.145499999999998"/>
  </r>
  <r>
    <n v="107"/>
    <s v="CPRE521"/>
    <s v="CPRE524"/>
    <x v="0"/>
    <s v="Pretty Patches"/>
    <d v="2023-03-05T00:00:00"/>
    <d v="2023-07-06T00:00:00"/>
    <n v="123"/>
    <s v="blue"/>
    <x v="2"/>
    <n v="123"/>
    <n v="2"/>
    <n v="3"/>
    <n v="2"/>
    <n v="36.79"/>
    <n v="2.1539999999999999"/>
    <d v="1899-12-30T11:43:22"/>
    <d v="1899-12-30T17:56:00"/>
    <m/>
    <n v="37.1"/>
    <n v="37.314999999999998"/>
    <n v="0.21499999999999631"/>
    <s v="6:12:38"/>
    <n v="0.124"/>
    <n v="37.190999999999995"/>
    <n v="9.0999999999993975E-2"/>
    <n v="37.145499999999998"/>
  </r>
  <r>
    <n v="107"/>
    <s v="CPRE521"/>
    <s v="CPRE524"/>
    <x v="0"/>
    <s v="Pretty Patches"/>
    <d v="2023-03-05T00:00:00"/>
    <d v="2023-07-13T00:00:00"/>
    <n v="130"/>
    <s v="blue"/>
    <x v="0"/>
    <n v="247"/>
    <n v="1"/>
    <n v="6"/>
    <n v="2"/>
    <n v="25.33"/>
    <n v="1.6111"/>
    <d v="1899-12-30T11:50:15"/>
    <d v="1899-12-30T18:05:00"/>
    <m/>
    <n v="37.200000000000003"/>
    <n v="37.151000000000003"/>
    <n v="-4.8999999999999488E-2"/>
    <s v="6:14:45"/>
    <n v="5.5E-2"/>
    <n v="37.096000000000004"/>
    <n v="-0.1039999999999992"/>
    <n v="37.148000000000003"/>
  </r>
  <r>
    <n v="107"/>
    <s v="CPRE521"/>
    <s v="CPRE524"/>
    <x v="0"/>
    <s v="Pretty Patches"/>
    <d v="2023-03-05T00:00:00"/>
    <d v="2023-07-13T00:00:00"/>
    <n v="130"/>
    <s v="red"/>
    <x v="2"/>
    <n v="159"/>
    <n v="1"/>
    <n v="6"/>
    <n v="5"/>
    <n v="29.81"/>
    <n v="1.1200000000000001"/>
    <d v="1899-12-30T11:50:15"/>
    <d v="1899-12-30T18:05:00"/>
    <m/>
    <n v="37.200000000000003"/>
    <n v="37.151000000000003"/>
    <n v="-4.8999999999999488E-2"/>
    <s v="6:14:45"/>
    <n v="5.5E-2"/>
    <n v="37.096000000000004"/>
    <n v="-0.1039999999999992"/>
    <n v="37.148000000000003"/>
  </r>
  <r>
    <n v="107"/>
    <s v="CPRE521"/>
    <s v="CPRE524"/>
    <x v="0"/>
    <s v="Pretty Patches"/>
    <d v="2023-03-05T00:00:00"/>
    <d v="2023-07-13T00:00:00"/>
    <n v="130"/>
    <s v="red"/>
    <x v="2"/>
    <n v="159"/>
    <n v="1"/>
    <n v="6"/>
    <n v="4"/>
    <n v="30.8"/>
    <n v="1.2565999999999999"/>
    <d v="1899-12-30T11:50:15"/>
    <d v="1899-12-30T18:05:00"/>
    <m/>
    <n v="37.200000000000003"/>
    <n v="37.151000000000003"/>
    <n v="-4.8999999999999488E-2"/>
    <s v="6:14:45"/>
    <n v="5.5E-2"/>
    <n v="37.096000000000004"/>
    <n v="-0.1039999999999992"/>
    <n v="37.148000000000003"/>
  </r>
  <r>
    <n v="60"/>
    <s v="LCKM159"/>
    <s v="LCKM155"/>
    <x v="1"/>
    <s v="Cockermouth Island"/>
    <d v="2023-01-17T00:00:00"/>
    <d v="2023-06-09T00:00:00"/>
    <n v="143"/>
    <s v="red"/>
    <x v="2"/>
    <n v="128"/>
    <n v="2"/>
    <n v="1"/>
    <n v="3"/>
    <n v="29.37"/>
    <n v="0.99529999999999996"/>
    <d v="1899-12-30T11:33:47"/>
    <d v="1899-12-30T17:46:00"/>
    <n v="37.164000000000001"/>
    <n v="37.15"/>
    <n v="37.177999999999997"/>
    <n v="2.7999999999998693E-2"/>
    <s v="6:12:13"/>
    <n v="2.9250000000000002E-2"/>
    <n v="37.14875"/>
    <n v="-1.2499999999988631E-3"/>
    <n v="37.149374999999999"/>
  </r>
  <r>
    <n v="110"/>
    <s v="CPRE453"/>
    <s v="CPRE459"/>
    <x v="0"/>
    <s v="Pretty Patches"/>
    <d v="2023-03-07T00:00:00"/>
    <d v="2023-07-12T00:00:00"/>
    <n v="127"/>
    <s v="blue"/>
    <x v="2"/>
    <n v="325"/>
    <n v="2"/>
    <n v="2"/>
    <n v="3"/>
    <n v="31.27"/>
    <n v="1.1842999999999999"/>
    <d v="1899-12-30T12:13:52"/>
    <d v="1899-12-30T18:22:00"/>
    <m/>
    <m/>
    <n v="37.206000000000003"/>
    <m/>
    <s v="6:08:08"/>
    <n v="5.6599999999999998E-2"/>
    <n v="37.1494"/>
    <m/>
    <n v="37.1494"/>
  </r>
  <r>
    <n v="74"/>
    <s v="LSBI023"/>
    <s v="LCHA118"/>
    <x v="1"/>
    <s v="Chauvel Reef/St. Bee's Island"/>
    <d v="2023-02-01T00:00:00"/>
    <d v="2023-06-09T00:00:00"/>
    <n v="128"/>
    <s v="red"/>
    <x v="2"/>
    <n v="227"/>
    <n v="2"/>
    <n v="4"/>
    <n v="5"/>
    <n v="31.81"/>
    <n v="1.2839"/>
    <d v="1899-12-30T11:33:47"/>
    <d v="1899-12-30T17:49:00"/>
    <n v="37.15"/>
    <n v="37.15"/>
    <s v="na"/>
    <m/>
    <s v="6:15:13"/>
    <n v="2.9250000000000002E-2"/>
    <m/>
    <m/>
    <n v="37.15"/>
  </r>
  <r>
    <n v="110"/>
    <s v="CPRE453"/>
    <s v="CPRE459"/>
    <x v="0"/>
    <s v="Pretty Patches"/>
    <d v="2023-03-07T00:00:00"/>
    <d v="2023-07-13T00:00:00"/>
    <n v="128"/>
    <s v="red"/>
    <x v="2"/>
    <n v="360"/>
    <n v="1"/>
    <n v="2"/>
    <n v="3"/>
    <n v="25.61"/>
    <n v="0.71509999999999996"/>
    <d v="1899-12-30T11:50:15"/>
    <d v="1899-12-30T17:57:00"/>
    <m/>
    <m/>
    <n v="37.151000000000003"/>
    <m/>
    <s v="6:06:45"/>
    <n v="0"/>
    <n v="37.151000000000003"/>
    <m/>
    <n v="37.151000000000003"/>
  </r>
  <r>
    <n v="101"/>
    <s v="LSBI028"/>
    <s v="LSBI027"/>
    <x v="1"/>
    <s v="St. Bee's Island"/>
    <d v="2023-02-25T00:00:00"/>
    <d v="2023-07-12T00:00:00"/>
    <n v="137"/>
    <s v="white"/>
    <x v="1"/>
    <n v="248"/>
    <n v="1"/>
    <n v="3"/>
    <n v="3"/>
    <n v="29.37"/>
    <n v="1.0558000000000001"/>
    <d v="1899-12-30T12:13:52"/>
    <d v="1899-12-30T18:25:00"/>
    <m/>
    <m/>
    <n v="37.232999999999997"/>
    <m/>
    <s v="6:11:08"/>
    <n v="8.0199999999999994E-2"/>
    <n v="37.152799999999999"/>
    <m/>
    <n v="37.152799999999999"/>
  </r>
  <r>
    <n v="101"/>
    <s v="LSBI028"/>
    <s v="LSBI027"/>
    <x v="1"/>
    <s v="St. Bee's Island"/>
    <d v="2023-02-25T00:00:00"/>
    <d v="2023-07-12T00:00:00"/>
    <n v="137"/>
    <s v="blue"/>
    <x v="2"/>
    <n v="226"/>
    <n v="2"/>
    <n v="3"/>
    <n v="1"/>
    <n v="28.62"/>
    <n v="0.96819999999999995"/>
    <d v="1899-12-30T12:13:52"/>
    <d v="1899-12-30T18:25:00"/>
    <m/>
    <m/>
    <n v="37.232999999999997"/>
    <m/>
    <s v="6:11:08"/>
    <n v="8.0199999999999994E-2"/>
    <n v="37.152799999999999"/>
    <m/>
    <n v="37.152799999999999"/>
  </r>
  <r>
    <n v="101"/>
    <s v="LSBI028"/>
    <s v="LSBI027"/>
    <x v="1"/>
    <s v="St. Bee's Island"/>
    <d v="2023-02-25T00:00:00"/>
    <d v="2023-07-12T00:00:00"/>
    <n v="137"/>
    <s v="blue"/>
    <x v="2"/>
    <n v="226"/>
    <n v="2"/>
    <n v="3"/>
    <n v="3"/>
    <n v="31.68"/>
    <n v="1.3655999999999999"/>
    <d v="1899-12-30T12:13:52"/>
    <d v="1899-12-30T18:25:00"/>
    <m/>
    <m/>
    <n v="37.232999999999997"/>
    <m/>
    <s v="6:11:08"/>
    <n v="8.0199999999999994E-2"/>
    <n v="37.152799999999999"/>
    <m/>
    <n v="37.152799999999999"/>
  </r>
  <r>
    <n v="108"/>
    <s v="CARL369"/>
    <s v="CARL349"/>
    <x v="0"/>
    <s v="Arlington Reef"/>
    <d v="2023-03-05T00:00:00"/>
    <d v="2023-07-06T00:00:00"/>
    <n v="123"/>
    <s v="red"/>
    <x v="1"/>
    <n v="354"/>
    <n v="1"/>
    <n v="4"/>
    <n v="2"/>
    <n v="33.51"/>
    <n v="1.6424000000000001"/>
    <d v="1899-12-30T11:43:22"/>
    <d v="1899-12-30T17:52:00"/>
    <m/>
    <m/>
    <n v="37.124000000000002"/>
    <m/>
    <s v="6:08:38"/>
    <n v="-2.92E-2"/>
    <n v="37.153200000000005"/>
    <m/>
    <n v="37.153200000000005"/>
  </r>
  <r>
    <n v="108"/>
    <s v="CARL369"/>
    <s v="CARL349"/>
    <x v="0"/>
    <s v="Arlington Reef"/>
    <d v="2023-03-05T00:00:00"/>
    <d v="2023-07-06T00:00:00"/>
    <n v="123"/>
    <s v="blue"/>
    <x v="2"/>
    <n v="254"/>
    <n v="1"/>
    <n v="4"/>
    <n v="2"/>
    <n v="24.04"/>
    <n v="0.59519999999999995"/>
    <d v="1899-12-30T11:43:22"/>
    <d v="1899-12-30T17:52:00"/>
    <m/>
    <m/>
    <n v="37.124000000000002"/>
    <m/>
    <s v="6:08:38"/>
    <n v="-2.92E-2"/>
    <n v="37.153200000000005"/>
    <m/>
    <n v="37.153200000000005"/>
  </r>
  <r>
    <n v="108"/>
    <s v="CARL369"/>
    <s v="CARL349"/>
    <x v="0"/>
    <s v="Arlington Reef"/>
    <d v="2023-03-05T00:00:00"/>
    <d v="2023-07-06T00:00:00"/>
    <n v="123"/>
    <s v="blue"/>
    <x v="2"/>
    <n v="254"/>
    <n v="1"/>
    <n v="4"/>
    <n v="1"/>
    <n v="31.46"/>
    <n v="1.4140999999999999"/>
    <d v="1899-12-30T11:43:22"/>
    <d v="1899-12-30T17:52:00"/>
    <m/>
    <m/>
    <n v="37.124000000000002"/>
    <m/>
    <s v="6:08:38"/>
    <n v="-2.92E-2"/>
    <n v="37.153200000000005"/>
    <m/>
    <n v="37.153200000000005"/>
  </r>
  <r>
    <n v="120"/>
    <s v="CPRE550"/>
    <s v="CPRE533"/>
    <x v="0"/>
    <s v="Pretty Patches"/>
    <d v="2023-03-21T00:00:00"/>
    <d v="2023-07-13T00:00:00"/>
    <n v="114"/>
    <s v="blue"/>
    <x v="0"/>
    <n v="140"/>
    <n v="2"/>
    <n v="5"/>
    <n v="2"/>
    <n v="30.71"/>
    <n v="1.1476999999999999"/>
    <d v="1899-12-30T11:50:15"/>
    <d v="1899-12-30T17:58:00"/>
    <m/>
    <n v="37.200000000000003"/>
    <n v="37.124000000000002"/>
    <n v="-7.6000000000000512E-2"/>
    <s v="6:07:45"/>
    <n v="6.0000000000000001E-3"/>
    <n v="37.118000000000002"/>
    <n v="-8.2000000000000739E-2"/>
    <n v="37.159000000000006"/>
  </r>
  <r>
    <n v="120"/>
    <s v="CPRE550"/>
    <s v="CPRE533"/>
    <x v="0"/>
    <s v="Pretty Patches"/>
    <d v="2023-03-21T00:00:00"/>
    <d v="2023-07-13T00:00:00"/>
    <n v="114"/>
    <s v="white"/>
    <x v="1"/>
    <n v="154"/>
    <n v="1"/>
    <n v="5"/>
    <n v="5"/>
    <n v="27.55"/>
    <n v="0.80100000000000005"/>
    <d v="1899-12-30T11:50:15"/>
    <d v="1899-12-30T17:58:00"/>
    <m/>
    <n v="37.200000000000003"/>
    <n v="37.124000000000002"/>
    <n v="-7.6000000000000512E-2"/>
    <s v="6:07:45"/>
    <n v="6.0000000000000001E-3"/>
    <n v="37.118000000000002"/>
    <n v="-8.2000000000000739E-2"/>
    <n v="37.159000000000006"/>
  </r>
  <r>
    <n v="120"/>
    <s v="CPRE550"/>
    <s v="CPRE533"/>
    <x v="0"/>
    <s v="Pretty Patches"/>
    <d v="2023-03-21T00:00:00"/>
    <d v="2023-07-13T00:00:00"/>
    <n v="114"/>
    <s v="red"/>
    <x v="2"/>
    <n v="326"/>
    <n v="2"/>
    <n v="5"/>
    <n v="1"/>
    <n v="27.82"/>
    <n v="0.76029999999999998"/>
    <d v="1899-12-30T11:50:15"/>
    <d v="1899-12-30T17:58:00"/>
    <m/>
    <n v="37.200000000000003"/>
    <n v="37.124000000000002"/>
    <n v="-7.6000000000000512E-2"/>
    <s v="6:07:45"/>
    <n v="6.0000000000000001E-3"/>
    <n v="37.118000000000002"/>
    <n v="-8.2000000000000739E-2"/>
    <n v="37.159000000000006"/>
  </r>
  <r>
    <n v="120"/>
    <s v="CPRE550"/>
    <s v="CPRE533"/>
    <x v="0"/>
    <s v="Pretty Patches"/>
    <d v="2023-03-21T00:00:00"/>
    <d v="2023-07-13T00:00:00"/>
    <n v="114"/>
    <s v="red"/>
    <x v="2"/>
    <n v="326"/>
    <n v="2"/>
    <n v="5"/>
    <n v="4"/>
    <n v="27.75"/>
    <n v="0.9234"/>
    <d v="1899-12-30T11:50:15"/>
    <d v="1899-12-30T17:58:00"/>
    <m/>
    <n v="37.200000000000003"/>
    <n v="37.124000000000002"/>
    <n v="-7.6000000000000512E-2"/>
    <s v="6:07:45"/>
    <n v="6.0000000000000001E-3"/>
    <n v="37.118000000000002"/>
    <n v="-8.2000000000000739E-2"/>
    <n v="37.159000000000006"/>
  </r>
  <r>
    <n v="90"/>
    <s v="CSAT265"/>
    <s v="CSAT264"/>
    <x v="0"/>
    <s v="Satellite Reef"/>
    <d v="2023-02-20T00:00:00"/>
    <d v="2023-07-06T00:00:00"/>
    <n v="136"/>
    <s v="na"/>
    <x v="2"/>
    <n v="255"/>
    <n v="1"/>
    <s v="na"/>
    <s v="na"/>
    <n v="30.53"/>
    <n v="1.2124999999999999"/>
    <d v="1899-12-30T11:43:22"/>
    <d v="1899-12-30T17:52:00"/>
    <s v="na"/>
    <s v="na"/>
    <s v="na"/>
    <s v="na"/>
    <s v="6:08:38"/>
    <s v="na"/>
    <s v="na"/>
    <s v="na"/>
    <n v="37.159999999999997"/>
  </r>
  <r>
    <n v="108"/>
    <s v="CARL369"/>
    <s v="CARL349"/>
    <x v="0"/>
    <s v="Arlington Reef"/>
    <d v="2023-03-05T00:00:00"/>
    <d v="2023-07-06T00:00:00"/>
    <n v="123"/>
    <s v="blue"/>
    <x v="2"/>
    <n v="254"/>
    <n v="1"/>
    <n v="4"/>
    <n v="5"/>
    <n v="31.49"/>
    <n v="1.431"/>
    <d v="1899-12-30T11:43:22"/>
    <d v="1899-12-30T17:58:00"/>
    <m/>
    <n v="37.1"/>
    <n v="37.206000000000003"/>
    <n v="0.10600000000000165"/>
    <s v="6:14:38"/>
    <n v="-2.92E-2"/>
    <n v="37.235200000000006"/>
    <n v="0.13520000000000465"/>
    <n v="37.167600000000007"/>
  </r>
  <r>
    <n v="96"/>
    <s v="CARL338"/>
    <s v="CARL345"/>
    <x v="0"/>
    <s v="Arlington Reef"/>
    <d v="2023-02-23T00:00:00"/>
    <d v="2023-07-12T00:00:00"/>
    <n v="139"/>
    <s v="white"/>
    <x v="1"/>
    <n v="233"/>
    <n v="2"/>
    <n v="6"/>
    <n v="4"/>
    <n v="31.9"/>
    <n v="1.4721"/>
    <d v="1899-12-30T12:13:52"/>
    <d v="1899-12-30T18:30:00"/>
    <m/>
    <n v="37.200000000000003"/>
    <n v="37.151000000000003"/>
    <n v="-4.8999999999999488E-2"/>
    <s v="6:16:08"/>
    <n v="0.01"/>
    <n v="37.141000000000005"/>
    <n v="-5.8999999999997499E-2"/>
    <n v="37.170500000000004"/>
  </r>
  <r>
    <n v="107"/>
    <s v="CPRE521"/>
    <s v="CPRE524"/>
    <x v="0"/>
    <s v="Pretty Patches"/>
    <d v="2023-03-05T00:00:00"/>
    <d v="2023-07-06T00:00:00"/>
    <n v="123"/>
    <s v="blue"/>
    <x v="2"/>
    <n v="123"/>
    <n v="2"/>
    <n v="3"/>
    <n v="4"/>
    <n v="38.67"/>
    <n v="2.6337999999999999"/>
    <d v="1899-12-30T11:43:22"/>
    <d v="1899-12-30T17:59:00"/>
    <m/>
    <n v="37.1"/>
    <n v="37.369999999999997"/>
    <n v="0.26999999999999602"/>
    <s v="6:15:38"/>
    <n v="0.124"/>
    <n v="37.245999999999995"/>
    <n v="0.14599999999999369"/>
    <n v="37.173000000000002"/>
  </r>
  <r>
    <n v="108"/>
    <s v="CARL369"/>
    <s v="CARL349"/>
    <x v="0"/>
    <s v="Arlington Reef"/>
    <d v="2023-03-05T00:00:00"/>
    <d v="2023-07-13T00:00:00"/>
    <n v="130"/>
    <s v="white"/>
    <x v="1"/>
    <n v="330"/>
    <n v="2"/>
    <n v="3"/>
    <n v="5"/>
    <n v="33.08"/>
    <n v="1.5813999999999999"/>
    <d v="1899-12-30T11:50:15"/>
    <d v="1899-12-30T17:58:00"/>
    <m/>
    <n v="37.200000000000003"/>
    <n v="37.177999999999997"/>
    <n v="-2.2000000000005571E-2"/>
    <s v="6:07:45"/>
    <n v="2.3E-2"/>
    <n v="37.154999999999994"/>
    <n v="-4.5000000000008811E-2"/>
    <n v="37.177499999999995"/>
  </r>
  <r>
    <n v="108"/>
    <s v="CARL369"/>
    <s v="CARL349"/>
    <x v="0"/>
    <s v="Arlington Reef"/>
    <d v="2023-03-05T00:00:00"/>
    <d v="2023-07-13T00:00:00"/>
    <n v="130"/>
    <s v="white"/>
    <x v="1"/>
    <n v="330"/>
    <n v="2"/>
    <n v="3"/>
    <n v="2"/>
    <n v="35.340000000000003"/>
    <n v="1.8252999999999999"/>
    <d v="1899-12-30T11:50:15"/>
    <d v="1899-12-30T17:58:00"/>
    <m/>
    <n v="37.200000000000003"/>
    <n v="37.177999999999997"/>
    <n v="-2.2000000000005571E-2"/>
    <s v="6:07:45"/>
    <n v="2.3E-2"/>
    <n v="37.154999999999994"/>
    <n v="-4.5000000000008811E-2"/>
    <n v="37.177499999999995"/>
  </r>
  <r>
    <n v="107"/>
    <s v="CPRE521"/>
    <s v="CPRE524"/>
    <x v="0"/>
    <s v="Pretty Patches"/>
    <d v="2023-03-05T00:00:00"/>
    <d v="2023-07-13T00:00:00"/>
    <n v="130"/>
    <s v="red"/>
    <x v="2"/>
    <n v="159"/>
    <n v="1"/>
    <n v="6"/>
    <n v="2"/>
    <n v="32.24"/>
    <n v="1.3631"/>
    <d v="1899-12-30T11:50:15"/>
    <d v="1899-12-30T18:09:00"/>
    <m/>
    <m/>
    <n v="37.232999999999997"/>
    <m/>
    <s v="6:18:45"/>
    <n v="5.5E-2"/>
    <n v="37.177999999999997"/>
    <m/>
    <n v="37.177999999999997"/>
  </r>
  <r>
    <n v="65"/>
    <s v="LSBI028"/>
    <s v="LSBI027"/>
    <x v="1"/>
    <s v="St. Bee's Island"/>
    <d v="2023-01-27T00:00:00"/>
    <d v="2023-06-06T00:00:00"/>
    <n v="130"/>
    <s v="blue"/>
    <x v="0"/>
    <n v="341"/>
    <n v="2"/>
    <n v="5"/>
    <n v="4"/>
    <n v="33.049999999999997"/>
    <n v="1.2928999999999999"/>
    <d v="1899-12-30T10:33:39"/>
    <d v="1899-12-30T17:22:00"/>
    <n v="37.230500000000006"/>
    <n v="37.200000000000003"/>
    <n v="37.261000000000003"/>
    <n v="6.0999999999999943E-2"/>
    <s v="6:48:21"/>
    <n v="0.10340000000000001"/>
    <n v="37.157600000000002"/>
    <n v="-4.2400000000000659E-2"/>
    <n v="37.178800000000003"/>
  </r>
  <r>
    <n v="108"/>
    <s v="CARL369"/>
    <s v="CARL349"/>
    <x v="0"/>
    <s v="Arlington Reef"/>
    <d v="2023-03-05T00:00:00"/>
    <d v="2023-07-06T00:00:00"/>
    <n v="123"/>
    <s v="red"/>
    <x v="1"/>
    <n v="354"/>
    <n v="1"/>
    <n v="4"/>
    <n v="1"/>
    <n v="31.52"/>
    <n v="1.3378000000000001"/>
    <d v="1899-12-30T11:43:22"/>
    <d v="1899-12-30T17:54:00"/>
    <m/>
    <m/>
    <n v="37.151000000000003"/>
    <m/>
    <s v="6:10:38"/>
    <n v="-2.92E-2"/>
    <n v="37.180200000000006"/>
    <m/>
    <n v="37.180200000000006"/>
  </r>
  <r>
    <n v="108"/>
    <s v="CARL369"/>
    <s v="CARL349"/>
    <x v="0"/>
    <s v="Arlington Reef"/>
    <d v="2023-03-05T00:00:00"/>
    <d v="2023-07-06T00:00:00"/>
    <n v="123"/>
    <s v="red"/>
    <x v="1"/>
    <n v="354"/>
    <n v="1"/>
    <n v="4"/>
    <n v="5"/>
    <n v="31.41"/>
    <n v="1.353"/>
    <d v="1899-12-30T11:43:22"/>
    <d v="1899-12-30T17:54:00"/>
    <m/>
    <m/>
    <n v="37.151000000000003"/>
    <m/>
    <s v="6:10:38"/>
    <n v="-2.92E-2"/>
    <n v="37.180200000000006"/>
    <m/>
    <n v="37.180200000000006"/>
  </r>
  <r>
    <n v="90"/>
    <s v="CSAT265"/>
    <s v="CSAT264"/>
    <x v="0"/>
    <s v="Satellite Reef"/>
    <d v="2023-02-20T00:00:00"/>
    <d v="2023-07-12T00:00:00"/>
    <n v="142"/>
    <s v="blue"/>
    <x v="2"/>
    <n v="255"/>
    <n v="1"/>
    <n v="5"/>
    <n v="3"/>
    <n v="36.42"/>
    <n v="2.2927"/>
    <d v="1899-12-30T12:13:52"/>
    <d v="1899-12-30T18:28:00"/>
    <m/>
    <n v="37.25"/>
    <n v="37.232999999999997"/>
    <n v="-1.7000000000003013E-2"/>
    <s v="6:14:08"/>
    <n v="0.111"/>
    <n v="37.122"/>
    <n v="-0.12800000000000011"/>
    <n v="37.186"/>
  </r>
  <r>
    <n v="120"/>
    <s v="CPRE550"/>
    <s v="CPRE533"/>
    <x v="0"/>
    <s v="Pretty Patches"/>
    <d v="2023-03-21T00:00:00"/>
    <d v="2023-07-13T00:00:00"/>
    <n v="114"/>
    <s v="blue"/>
    <x v="0"/>
    <n v="140"/>
    <n v="2"/>
    <n v="5"/>
    <n v="4"/>
    <n v="32.75"/>
    <n v="1.5267999999999999"/>
    <d v="1899-12-30T11:50:15"/>
    <d v="1899-12-30T18:02:00"/>
    <m/>
    <n v="37.200000000000003"/>
    <n v="37.177999999999997"/>
    <n v="-2.2000000000005571E-2"/>
    <s v="6:11:45"/>
    <n v="6.0000000000000001E-3"/>
    <n v="37.171999999999997"/>
    <n v="-2.8000000000005798E-2"/>
    <n v="37.186"/>
  </r>
  <r>
    <n v="120"/>
    <s v="CPRE550"/>
    <s v="CPRE533"/>
    <x v="0"/>
    <s v="Pretty Patches"/>
    <d v="2023-03-21T00:00:00"/>
    <d v="2023-07-13T00:00:00"/>
    <n v="114"/>
    <s v="red"/>
    <x v="2"/>
    <n v="326"/>
    <n v="2"/>
    <n v="5"/>
    <n v="3"/>
    <n v="32.79"/>
    <n v="1.4155"/>
    <d v="1899-12-30T11:50:15"/>
    <d v="1899-12-30T18:02:00"/>
    <m/>
    <n v="37.200000000000003"/>
    <n v="37.177999999999997"/>
    <n v="-2.2000000000005571E-2"/>
    <s v="6:11:45"/>
    <n v="6.0000000000000001E-3"/>
    <n v="37.171999999999997"/>
    <n v="-2.8000000000005798E-2"/>
    <n v="37.186"/>
  </r>
  <r>
    <n v="120"/>
    <s v="CPRE550"/>
    <s v="CPRE533"/>
    <x v="0"/>
    <s v="Pretty Patches"/>
    <d v="2023-03-21T00:00:00"/>
    <d v="2023-07-13T00:00:00"/>
    <n v="114"/>
    <s v="red"/>
    <x v="2"/>
    <n v="326"/>
    <n v="2"/>
    <n v="5"/>
    <n v="2"/>
    <n v="32.42"/>
    <n v="1.4908999999999999"/>
    <d v="1899-12-30T11:50:15"/>
    <d v="1899-12-30T18:02:00"/>
    <m/>
    <n v="37.200000000000003"/>
    <n v="37.177999999999997"/>
    <n v="-2.2000000000005571E-2"/>
    <s v="6:11:45"/>
    <n v="6.0000000000000001E-3"/>
    <n v="37.171999999999997"/>
    <n v="-2.8000000000005798E-2"/>
    <n v="37.186"/>
  </r>
  <r>
    <n v="99"/>
    <s v="CARL335"/>
    <s v="CARL359"/>
    <x v="0"/>
    <s v="Arlington Reef"/>
    <d v="2023-02-23T00:00:00"/>
    <d v="2023-07-05T00:00:00"/>
    <n v="132"/>
    <s v="na"/>
    <x v="2"/>
    <n v="324"/>
    <n v="2"/>
    <s v="na"/>
    <s v="na"/>
    <n v="34.81"/>
    <n v="1.6044"/>
    <d v="1899-12-30T13:00:00"/>
    <d v="1899-12-30T19:18:00"/>
    <s v="na"/>
    <s v="na"/>
    <s v="na"/>
    <s v="na"/>
    <s v="6:18:00"/>
    <s v="na"/>
    <s v="na"/>
    <s v="na"/>
    <n v="37.19"/>
  </r>
  <r>
    <n v="89"/>
    <s v="LCKM159"/>
    <s v="LCKM155"/>
    <x v="1"/>
    <s v="Cockermouth Island"/>
    <d v="2023-02-10T00:00:00"/>
    <d v="2023-06-06T00:00:00"/>
    <n v="116"/>
    <s v="white"/>
    <x v="1"/>
    <n v="350"/>
    <n v="1"/>
    <n v="1"/>
    <n v="2"/>
    <n v="30.07"/>
    <n v="1.0707"/>
    <d v="1899-12-30T10:33:39"/>
    <d v="1899-12-30T17:14:00"/>
    <n v="37.206000000000003"/>
    <m/>
    <n v="37.206000000000003"/>
    <m/>
    <s v="6:40:21"/>
    <n v="7.3099999999999997E-3"/>
    <n v="37.198690000000006"/>
    <m/>
    <n v="37.198690000000006"/>
  </r>
  <r>
    <n v="89"/>
    <s v="LCKM159"/>
    <s v="LCKM155"/>
    <x v="1"/>
    <s v="Cockermouth Island"/>
    <d v="2023-02-10T00:00:00"/>
    <d v="2023-06-06T00:00:00"/>
    <n v="116"/>
    <s v="red"/>
    <x v="2"/>
    <n v="257"/>
    <n v="1"/>
    <n v="1"/>
    <n v="3"/>
    <n v="30.86"/>
    <n v="1.2609999999999999"/>
    <d v="1899-12-30T10:33:39"/>
    <d v="1899-12-30T17:14:00"/>
    <n v="37.206000000000003"/>
    <m/>
    <n v="37.206000000000003"/>
    <m/>
    <s v="6:40:21"/>
    <n v="7.3099999999999997E-3"/>
    <n v="37.198690000000006"/>
    <m/>
    <n v="37.198690000000006"/>
  </r>
  <r>
    <n v="60"/>
    <s v="LCKM159"/>
    <s v="LCKM155"/>
    <x v="1"/>
    <s v="Cockermouth Island"/>
    <d v="2023-01-17T00:00:00"/>
    <d v="2023-06-01T00:00:00"/>
    <n v="135"/>
    <s v="na"/>
    <x v="1"/>
    <n v="152"/>
    <n v="1"/>
    <s v="na"/>
    <s v="na"/>
    <n v="36.19"/>
    <n v="1.6823999999999999"/>
    <d v="1899-12-30T12:17:20"/>
    <d v="1899-12-30T18:31:00"/>
    <s v="na"/>
    <s v="na"/>
    <s v="na"/>
    <s v="na"/>
    <s v="6:13:40"/>
    <s v="na"/>
    <s v="na"/>
    <s v="na"/>
    <n v="37.200000000000003"/>
  </r>
  <r>
    <n v="74"/>
    <s v="LSBI023"/>
    <s v="LCHA118"/>
    <x v="1"/>
    <s v="Chauvel Reef/St. Bee's Island"/>
    <d v="2023-02-01T00:00:00"/>
    <d v="2023-06-01T00:00:00"/>
    <n v="120"/>
    <s v="white"/>
    <x v="1"/>
    <n v="230"/>
    <n v="1"/>
    <n v="1"/>
    <n v="5"/>
    <n v="30.08"/>
    <n v="0.91849999999999998"/>
    <d v="1899-12-30T12:17:20"/>
    <m/>
    <n v="37.200000000000003"/>
    <n v="37.200000000000003"/>
    <s v="na"/>
    <m/>
    <e v="#VALUE!"/>
    <s v="na"/>
    <s v="na"/>
    <s v="na"/>
    <n v="37.200000000000003"/>
  </r>
  <r>
    <n v="74"/>
    <s v="LSBI023"/>
    <s v="LCHA118"/>
    <x v="1"/>
    <s v="Chauvel Reef/St. Bee's Island"/>
    <d v="2023-02-01T00:00:00"/>
    <d v="2023-06-01T00:00:00"/>
    <n v="120"/>
    <s v="blue"/>
    <x v="2"/>
    <n v="227"/>
    <n v="1"/>
    <n v="1"/>
    <n v="3"/>
    <n v="24.58"/>
    <n v="0.55859999999999999"/>
    <d v="1899-12-30T12:17:20"/>
    <m/>
    <n v="37.200000000000003"/>
    <n v="37.200000000000003"/>
    <s v="na"/>
    <m/>
    <e v="#VALUE!"/>
    <s v="na"/>
    <s v="na"/>
    <s v="na"/>
    <n v="37.200000000000003"/>
  </r>
  <r>
    <n v="74"/>
    <s v="LSBI023"/>
    <s v="LCHA118"/>
    <x v="1"/>
    <s v="Chauvel Reef/St. Bee's Island"/>
    <d v="2023-02-01T00:00:00"/>
    <d v="2023-06-01T00:00:00"/>
    <n v="120"/>
    <s v="blue"/>
    <x v="2"/>
    <n v="227"/>
    <n v="1"/>
    <n v="1"/>
    <n v="5"/>
    <n v="29.27"/>
    <n v="1.0115000000000001"/>
    <d v="1899-12-30T12:17:20"/>
    <m/>
    <n v="37.200000000000003"/>
    <n v="37.200000000000003"/>
    <s v="na"/>
    <m/>
    <e v="#VALUE!"/>
    <s v="na"/>
    <s v="na"/>
    <s v="na"/>
    <n v="37.200000000000003"/>
  </r>
  <r>
    <n v="75"/>
    <s v="LSBI034"/>
    <s v="LCHA120"/>
    <x v="1"/>
    <s v="Chauvel Reef/St. Bee's Island"/>
    <d v="2023-02-02T00:00:00"/>
    <d v="2023-06-01T00:00:00"/>
    <n v="119"/>
    <s v="white"/>
    <x v="1"/>
    <n v="351"/>
    <n v="1"/>
    <n v="2"/>
    <n v="3"/>
    <n v="30.49"/>
    <n v="0.96589999999999998"/>
    <d v="1899-12-30T12:17:20"/>
    <m/>
    <n v="37.200000000000003"/>
    <n v="37.200000000000003"/>
    <s v="na"/>
    <m/>
    <e v="#VALUE!"/>
    <s v="na"/>
    <s v="na"/>
    <s v="na"/>
    <n v="37.200000000000003"/>
  </r>
  <r>
    <n v="75"/>
    <s v="LSBI034"/>
    <s v="LCHA120"/>
    <x v="1"/>
    <s v="Chauvel Reef/St. Bee's Island"/>
    <d v="2023-02-02T00:00:00"/>
    <d v="2023-06-01T00:00:00"/>
    <n v="119"/>
    <s v="white"/>
    <x v="1"/>
    <n v="351"/>
    <n v="1"/>
    <n v="2"/>
    <n v="2"/>
    <n v="32.33"/>
    <n v="1.2464999999999999"/>
    <d v="1899-12-30T12:17:20"/>
    <m/>
    <n v="37.200000000000003"/>
    <n v="37.200000000000003"/>
    <s v="na"/>
    <m/>
    <e v="#VALUE!"/>
    <s v="na"/>
    <s v="na"/>
    <s v="na"/>
    <n v="37.200000000000003"/>
  </r>
  <r>
    <n v="75"/>
    <s v="LSBI034"/>
    <s v="LCHA120"/>
    <x v="1"/>
    <s v="Chauvel Reef/St. Bee's Island"/>
    <d v="2023-02-02T00:00:00"/>
    <d v="2023-06-01T00:00:00"/>
    <n v="119"/>
    <s v="na"/>
    <x v="1"/>
    <n v="351"/>
    <n v="1"/>
    <s v="na"/>
    <s v="na"/>
    <n v="33.51"/>
    <n v="1.2357"/>
    <d v="1899-12-30T12:17:20"/>
    <d v="1899-12-30T18:31:00"/>
    <s v="na"/>
    <s v="na"/>
    <s v="na"/>
    <s v="na"/>
    <s v="6:13:40"/>
    <s v="na"/>
    <s v="na"/>
    <s v="na"/>
    <n v="37.200000000000003"/>
  </r>
  <r>
    <n v="87"/>
    <s v="CRUS426"/>
    <s v="CRUS360"/>
    <x v="0"/>
    <s v="Russel Island"/>
    <d v="2023-02-16T00:00:00"/>
    <d v="2023-06-16T00:00:00"/>
    <n v="120"/>
    <s v="na"/>
    <x v="0"/>
    <n v="340"/>
    <n v="2"/>
    <s v="na"/>
    <s v="na"/>
    <n v="36.04"/>
    <n v="1.776"/>
    <d v="1899-12-30T12:00:00"/>
    <d v="1899-12-30T18:12:00"/>
    <s v="na"/>
    <s v="na"/>
    <s v="na"/>
    <s v="na"/>
    <s v="6:12:00"/>
    <s v="na"/>
    <s v="na"/>
    <s v="na"/>
    <n v="37.200000000000003"/>
  </r>
  <r>
    <n v="87"/>
    <s v="CRUS426"/>
    <s v="CRUS360"/>
    <x v="0"/>
    <s v="Russel Island"/>
    <d v="2023-02-16T00:00:00"/>
    <d v="2023-06-16T00:00:00"/>
    <n v="120"/>
    <s v="na"/>
    <x v="2"/>
    <n v="358"/>
    <n v="2"/>
    <s v="na"/>
    <s v="na"/>
    <n v="30.93"/>
    <n v="1.1476999999999999"/>
    <d v="1899-12-30T12:00:00"/>
    <d v="1899-12-30T18:12:00"/>
    <s v="na"/>
    <s v="na"/>
    <s v="na"/>
    <s v="na"/>
    <s v="6:12:00"/>
    <s v="na"/>
    <s v="na"/>
    <s v="na"/>
    <n v="37.200000000000003"/>
  </r>
  <r>
    <n v="89"/>
    <s v="LCKM159"/>
    <s v="LCKM155"/>
    <x v="1"/>
    <s v="Cockermouth Island"/>
    <d v="2023-02-10T00:00:00"/>
    <d v="2023-06-01T00:00:00"/>
    <n v="111"/>
    <s v="red"/>
    <x v="0"/>
    <n v="138"/>
    <n v="2"/>
    <n v="3"/>
    <n v="3"/>
    <n v="35.47"/>
    <n v="1.5531999999999999"/>
    <d v="1899-12-30T12:17:20"/>
    <m/>
    <n v="37.200000000000003"/>
    <n v="37.200000000000003"/>
    <s v="na"/>
    <m/>
    <e v="#VALUE!"/>
    <s v="na"/>
    <s v="na"/>
    <s v="na"/>
    <n v="37.200000000000003"/>
  </r>
  <r>
    <n v="90"/>
    <s v="CSAT265"/>
    <s v="CSAT264"/>
    <x v="0"/>
    <s v="Satellite Reef"/>
    <d v="2023-02-20T00:00:00"/>
    <d v="2023-07-12T00:00:00"/>
    <n v="142"/>
    <s v="blue"/>
    <x v="2"/>
    <n v="255"/>
    <n v="1"/>
    <n v="5"/>
    <n v="4"/>
    <n v="29.86"/>
    <n v="1.3089"/>
    <d v="1899-12-30T12:13:52"/>
    <d v="1899-12-30T18:30:00"/>
    <m/>
    <n v="37.25"/>
    <n v="37.261000000000003"/>
    <n v="1.1000000000002785E-2"/>
    <s v="6:16:08"/>
    <n v="0.111"/>
    <n v="37.150000000000006"/>
    <n v="-9.9999999999994316E-2"/>
    <n v="37.200000000000003"/>
  </r>
  <r>
    <n v="90"/>
    <s v="CSAT265"/>
    <s v="CSAT264"/>
    <x v="0"/>
    <s v="Satellite Reef"/>
    <d v="2023-02-20T00:00:00"/>
    <d v="2023-07-12T00:00:00"/>
    <n v="142"/>
    <s v="blue"/>
    <x v="2"/>
    <n v="255"/>
    <n v="1"/>
    <n v="5"/>
    <n v="1"/>
    <n v="34.82"/>
    <n v="1.9416"/>
    <d v="1899-12-30T12:13:52"/>
    <d v="1899-12-30T18:30:00"/>
    <m/>
    <n v="37.25"/>
    <n v="37.261000000000003"/>
    <n v="1.1000000000002785E-2"/>
    <s v="6:16:08"/>
    <n v="0.111"/>
    <n v="37.150000000000006"/>
    <n v="-9.9999999999994316E-2"/>
    <n v="37.200000000000003"/>
  </r>
  <r>
    <n v="90"/>
    <s v="CSAT265"/>
    <s v="CSAT264"/>
    <x v="0"/>
    <s v="Satellite Reef"/>
    <d v="2023-02-20T00:00:00"/>
    <d v="2023-07-12T00:00:00"/>
    <n v="142"/>
    <s v="blue"/>
    <x v="2"/>
    <n v="255"/>
    <n v="1"/>
    <n v="5"/>
    <n v="2"/>
    <n v="35.479999999999997"/>
    <n v="1.9804999999999999"/>
    <d v="1899-12-30T12:13:52"/>
    <d v="1899-12-30T18:30:00"/>
    <m/>
    <n v="37.25"/>
    <n v="37.261000000000003"/>
    <n v="1.1000000000002785E-2"/>
    <s v="6:16:08"/>
    <n v="0.111"/>
    <n v="37.150000000000006"/>
    <n v="-9.9999999999994316E-2"/>
    <n v="37.200000000000003"/>
  </r>
  <r>
    <n v="107"/>
    <s v="CPRE521"/>
    <s v="CPRE524"/>
    <x v="0"/>
    <s v="Pretty Patches"/>
    <d v="2023-03-05T00:00:00"/>
    <d v="2023-07-11T00:00:00"/>
    <n v="128"/>
    <s v="na"/>
    <x v="2"/>
    <n v="123"/>
    <n v="2"/>
    <s v="na"/>
    <s v="na"/>
    <n v="30.2"/>
    <n v="1.1254"/>
    <d v="1899-12-30T13:18:00"/>
    <d v="1899-12-30T19:36:00"/>
    <s v="na"/>
    <s v="na"/>
    <s v="na"/>
    <s v="na"/>
    <s v="6:18:00"/>
    <s v="na"/>
    <s v="na"/>
    <s v="na"/>
    <n v="37.200000000000003"/>
  </r>
  <r>
    <n v="110"/>
    <s v="CPRE453"/>
    <s v="CPRE459"/>
    <x v="0"/>
    <s v="Pretty Patches"/>
    <d v="2023-03-07T00:00:00"/>
    <d v="2023-07-12T00:00:00"/>
    <n v="127"/>
    <s v="blue"/>
    <x v="2"/>
    <n v="325"/>
    <n v="2"/>
    <n v="2"/>
    <n v="1"/>
    <n v="30.43"/>
    <n v="1.2479"/>
    <d v="1899-12-30T12:13:52"/>
    <d v="1899-12-30T18:26:00"/>
    <m/>
    <m/>
    <n v="37.261000000000003"/>
    <m/>
    <s v="6:12:08"/>
    <n v="5.6599999999999998E-2"/>
    <n v="37.2044"/>
    <m/>
    <n v="37.2044"/>
  </r>
  <r>
    <n v="110"/>
    <s v="CPRE453"/>
    <s v="CPRE459"/>
    <x v="0"/>
    <s v="Pretty Patches"/>
    <d v="2023-03-07T00:00:00"/>
    <d v="2023-07-12T00:00:00"/>
    <n v="127"/>
    <s v="blue"/>
    <x v="2"/>
    <n v="325"/>
    <n v="2"/>
    <n v="2"/>
    <n v="2"/>
    <n v="32.799999999999997"/>
    <n v="1.6990000000000001"/>
    <d v="1899-12-30T12:13:52"/>
    <d v="1899-12-30T18:27:00"/>
    <m/>
    <m/>
    <n v="37.261000000000003"/>
    <m/>
    <s v="6:13:08"/>
    <n v="5.6599999999999998E-2"/>
    <n v="37.2044"/>
    <m/>
    <n v="37.2044"/>
  </r>
  <r>
    <n v="101"/>
    <s v="LSBI028"/>
    <s v="LSBI027"/>
    <x v="1"/>
    <s v="St. Bee's Island"/>
    <d v="2023-02-25T00:00:00"/>
    <d v="2023-07-12T00:00:00"/>
    <n v="137"/>
    <s v="blue"/>
    <x v="2"/>
    <n v="226"/>
    <n v="2"/>
    <n v="3"/>
    <n v="4"/>
    <n v="22.87"/>
    <n v="0.50849999999999995"/>
    <d v="1899-12-30T12:13:52"/>
    <d v="1899-12-30T18:29:00"/>
    <m/>
    <m/>
    <n v="37.287999999999997"/>
    <m/>
    <s v="6:15:08"/>
    <n v="8.0199999999999994E-2"/>
    <n v="37.207799999999999"/>
    <m/>
    <n v="37.207799999999999"/>
  </r>
  <r>
    <n v="101"/>
    <s v="LSBI028"/>
    <s v="LSBI027"/>
    <x v="1"/>
    <s v="St. Bee's Island"/>
    <d v="2023-02-25T00:00:00"/>
    <d v="2023-07-12T00:00:00"/>
    <n v="137"/>
    <s v="blue"/>
    <x v="2"/>
    <n v="226"/>
    <n v="2"/>
    <n v="3"/>
    <n v="2"/>
    <n v="31.14"/>
    <n v="1.2589999999999999"/>
    <d v="1899-12-30T12:13:52"/>
    <d v="1899-12-30T18:29:00"/>
    <m/>
    <m/>
    <n v="37.287999999999997"/>
    <m/>
    <s v="6:15:08"/>
    <n v="8.0199999999999994E-2"/>
    <n v="37.207799999999999"/>
    <m/>
    <n v="37.207799999999999"/>
  </r>
  <r>
    <n v="108"/>
    <s v="CARL369"/>
    <s v="CARL349"/>
    <x v="0"/>
    <s v="Arlington Reef"/>
    <d v="2023-03-05T00:00:00"/>
    <d v="2023-07-13T00:00:00"/>
    <n v="130"/>
    <s v="blue"/>
    <x v="0"/>
    <n v="236"/>
    <n v="1"/>
    <n v="3"/>
    <n v="5"/>
    <n v="32.78"/>
    <n v="1.4621"/>
    <d v="1899-12-30T11:50:15"/>
    <d v="1899-12-30T18:01:00"/>
    <m/>
    <m/>
    <n v="37.232999999999997"/>
    <m/>
    <s v="6:10:45"/>
    <n v="2.3E-2"/>
    <n v="37.209999999999994"/>
    <m/>
    <n v="37.209999999999994"/>
  </r>
  <r>
    <n v="108"/>
    <s v="CARL369"/>
    <s v="CARL349"/>
    <x v="0"/>
    <s v="Arlington Reef"/>
    <d v="2023-03-05T00:00:00"/>
    <d v="2023-07-13T00:00:00"/>
    <n v="130"/>
    <s v="white"/>
    <x v="1"/>
    <n v="330"/>
    <n v="2"/>
    <n v="3"/>
    <n v="4"/>
    <n v="32.36"/>
    <n v="1.3183"/>
    <d v="1899-12-30T11:50:15"/>
    <d v="1899-12-30T18:01:00"/>
    <m/>
    <m/>
    <n v="37.232999999999997"/>
    <m/>
    <s v="6:10:45"/>
    <n v="2.3E-2"/>
    <n v="37.209999999999994"/>
    <m/>
    <n v="37.209999999999994"/>
  </r>
  <r>
    <n v="90"/>
    <s v="CSAT265"/>
    <s v="CSAT264"/>
    <x v="0"/>
    <s v="Satellite Reef"/>
    <d v="2023-02-20T00:00:00"/>
    <d v="2023-07-12T00:00:00"/>
    <n v="142"/>
    <s v="white"/>
    <x v="1"/>
    <n v="252"/>
    <n v="1"/>
    <n v="5"/>
    <n v="3"/>
    <n v="32.79"/>
    <n v="1.5617000000000001"/>
    <d v="1899-12-30T12:13:52"/>
    <d v="1899-12-30T18:28:00"/>
    <m/>
    <n v="37.299999999999997"/>
    <n v="37.232999999999997"/>
    <n v="-6.7000000000000171E-2"/>
    <s v="6:14:08"/>
    <n v="0.111"/>
    <n v="37.122"/>
    <n v="-0.17799999999999727"/>
    <n v="37.210999999999999"/>
  </r>
  <r>
    <n v="90"/>
    <s v="CSAT265"/>
    <s v="CSAT264"/>
    <x v="0"/>
    <s v="Satellite Reef"/>
    <d v="2023-02-20T00:00:00"/>
    <d v="2023-07-12T00:00:00"/>
    <n v="142"/>
    <s v="blue"/>
    <x v="2"/>
    <n v="255"/>
    <n v="1"/>
    <n v="5"/>
    <n v="5"/>
    <n v="29.06"/>
    <n v="1.0572999999999999"/>
    <d v="1899-12-30T12:13:52"/>
    <d v="1899-12-30T18:28:00"/>
    <m/>
    <n v="37.299999999999997"/>
    <n v="37.232999999999997"/>
    <n v="-6.7000000000000171E-2"/>
    <s v="6:14:08"/>
    <n v="0.111"/>
    <n v="37.122"/>
    <n v="-0.17799999999999727"/>
    <n v="37.210999999999999"/>
  </r>
  <r>
    <n v="99"/>
    <s v="CARL335"/>
    <s v="CARL359"/>
    <x v="0"/>
    <s v="Arlington Reef"/>
    <d v="2023-02-23T00:00:00"/>
    <d v="2023-07-06T00:00:00"/>
    <n v="133"/>
    <s v="blue"/>
    <x v="2"/>
    <n v="324"/>
    <n v="2"/>
    <n v="2"/>
    <n v="5"/>
    <n v="35.85"/>
    <n v="1.9695"/>
    <d v="1899-12-30T11:43:22"/>
    <d v="1899-12-30T17:54:00"/>
    <m/>
    <m/>
    <n v="37.287999999999997"/>
    <m/>
    <s v="6:10:38"/>
    <n v="7.6700000000000004E-2"/>
    <n v="37.211299999999994"/>
    <m/>
    <n v="37.211299999999994"/>
  </r>
  <r>
    <n v="65"/>
    <s v="LSBI028"/>
    <s v="LSBI027"/>
    <x v="1"/>
    <s v="St. Bee's Island"/>
    <d v="2023-01-27T00:00:00"/>
    <d v="2023-06-09T00:00:00"/>
    <n v="133"/>
    <s v="red"/>
    <x v="2"/>
    <n v="126"/>
    <n v="1"/>
    <n v="3"/>
    <n v="3"/>
    <n v="35.69"/>
    <n v="1.9946999999999999"/>
    <d v="1899-12-30T11:33:47"/>
    <d v="1899-12-30T17:50:00"/>
    <n v="37.230500000000006"/>
    <n v="37.200000000000003"/>
    <n v="37.261000000000003"/>
    <n v="6.0999999999999943E-2"/>
    <s v="6:16:13"/>
    <n v="3.3820000000000003E-2"/>
    <n v="37.227180000000004"/>
    <n v="2.7180000000001314E-2"/>
    <n v="37.213590000000003"/>
  </r>
  <r>
    <n v="87"/>
    <s v="CRUS426"/>
    <s v="CRUS360"/>
    <x v="0"/>
    <s v="Russel Island"/>
    <d v="2023-02-16T00:00:00"/>
    <d v="2023-06-09T00:00:00"/>
    <n v="113"/>
    <s v="red"/>
    <x v="2"/>
    <n v="125"/>
    <n v="1"/>
    <n v="2"/>
    <n v="1"/>
    <n v="37.659999999999997"/>
    <n v="0.88419999999999999"/>
    <d v="1899-12-30T11:33:47"/>
    <d v="1899-12-30T17:51:00"/>
    <n v="37.2575"/>
    <n v="37.200000000000003"/>
    <n v="37.314999999999998"/>
    <n v="0.11499999999999488"/>
    <s v="6:17:13"/>
    <n v="7.5999999999999998E-2"/>
    <n v="37.238999999999997"/>
    <n v="3.8999999999994373E-2"/>
    <n v="37.219499999999996"/>
  </r>
  <r>
    <n v="89"/>
    <s v="LCKM159"/>
    <s v="LCKM155"/>
    <x v="1"/>
    <s v="Cockermouth Island"/>
    <d v="2023-02-10T00:00:00"/>
    <d v="2023-06-09T00:00:00"/>
    <n v="119"/>
    <s v="na"/>
    <x v="1"/>
    <n v="132"/>
    <n v="2"/>
    <s v="na"/>
    <s v="na"/>
    <n v="37.9"/>
    <n v="1.9503999999999999"/>
    <d v="1899-12-30T11:33:47"/>
    <d v="1899-12-30T17:47:00"/>
    <s v="na"/>
    <s v="na"/>
    <s v="na"/>
    <s v="na"/>
    <s v="6:13:13"/>
    <s v="na"/>
    <s v="na"/>
    <m/>
    <n v="37.22"/>
  </r>
  <r>
    <n v="90"/>
    <s v="CSAT265"/>
    <s v="CSAT264"/>
    <x v="0"/>
    <s v="Satellite Reef"/>
    <d v="2023-02-20T00:00:00"/>
    <d v="2023-07-06T00:00:00"/>
    <n v="136"/>
    <s v="blue"/>
    <x v="2"/>
    <n v="356"/>
    <n v="2"/>
    <n v="1"/>
    <n v="2"/>
    <n v="32.06"/>
    <n v="1.3772"/>
    <d v="1899-12-30T11:43:22"/>
    <d v="1899-12-30T17:58:00"/>
    <m/>
    <n v="37.200000000000003"/>
    <n v="37.343000000000004"/>
    <n v="0.14300000000000068"/>
    <s v="6:14:38"/>
    <n v="0.10299999999999999"/>
    <n v="37.24"/>
    <n v="3.9999999999999147E-2"/>
    <n v="37.22"/>
  </r>
  <r>
    <n v="87"/>
    <s v="CRUS426"/>
    <s v="CRUS360"/>
    <x v="0"/>
    <s v="Russel Island"/>
    <d v="2023-02-16T00:00:00"/>
    <d v="2023-06-06T00:00:00"/>
    <n v="110"/>
    <s v="red"/>
    <x v="2"/>
    <n v="125"/>
    <n v="2"/>
    <n v="6"/>
    <n v="1"/>
    <n v="31.72"/>
    <n v="1.4655"/>
    <d v="1899-12-30T10:33:39"/>
    <d v="1899-12-30T17:17:00"/>
    <m/>
    <m/>
    <n v="37.232999999999997"/>
    <m/>
    <s v="6:43:21"/>
    <n v="7.3099999999999997E-3"/>
    <n v="37.22569"/>
    <m/>
    <n v="37.22569"/>
  </r>
  <r>
    <n v="87"/>
    <s v="CRUS426"/>
    <s v="CRUS360"/>
    <x v="0"/>
    <s v="Russel Island"/>
    <d v="2023-02-16T00:00:00"/>
    <d v="2023-06-06T00:00:00"/>
    <n v="110"/>
    <s v="red"/>
    <x v="2"/>
    <n v="125"/>
    <n v="2"/>
    <n v="6"/>
    <n v="5"/>
    <n v="34.340000000000003"/>
    <n v="1.6709000000000001"/>
    <d v="1899-12-30T10:33:39"/>
    <d v="1899-12-30T17:17:00"/>
    <m/>
    <m/>
    <n v="37.232999999999997"/>
    <m/>
    <s v="6:43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blue"/>
    <x v="0"/>
    <n v="246"/>
    <n v="1"/>
    <n v="1"/>
    <n v="3"/>
    <n v="28.84"/>
    <n v="0.97199999999999998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blue"/>
    <x v="0"/>
    <n v="246"/>
    <n v="1"/>
    <n v="1"/>
    <n v="5"/>
    <n v="23.17"/>
    <n v="2.2183000000000002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white"/>
    <x v="1"/>
    <n v="350"/>
    <n v="1"/>
    <n v="1"/>
    <n v="3"/>
    <n v="28.86"/>
    <n v="0.97709999999999997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white"/>
    <x v="1"/>
    <n v="350"/>
    <n v="1"/>
    <n v="1"/>
    <n v="1"/>
    <n v="30.31"/>
    <n v="1.1155999999999999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white"/>
    <x v="1"/>
    <n v="350"/>
    <n v="1"/>
    <n v="1"/>
    <n v="5"/>
    <n v="33.83"/>
    <n v="1.5087999999999999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89"/>
    <s v="LCKM159"/>
    <s v="LCKM155"/>
    <x v="1"/>
    <s v="Cockermouth Island"/>
    <d v="2023-02-10T00:00:00"/>
    <d v="2023-06-06T00:00:00"/>
    <n v="116"/>
    <s v="red"/>
    <x v="2"/>
    <n v="257"/>
    <n v="1"/>
    <n v="1"/>
    <n v="1"/>
    <n v="31.92"/>
    <n v="1.3905000000000001"/>
    <d v="1899-12-30T10:33:39"/>
    <d v="1899-12-30T17:18:00"/>
    <n v="37.232999999999997"/>
    <m/>
    <n v="37.232999999999997"/>
    <m/>
    <s v="6:44:21"/>
    <n v="7.3099999999999997E-3"/>
    <n v="37.22569"/>
    <m/>
    <n v="37.22569"/>
  </r>
  <r>
    <n v="120"/>
    <s v="CPRE550"/>
    <s v="CPRE533"/>
    <x v="0"/>
    <s v="Pretty Patches"/>
    <d v="2023-03-21T00:00:00"/>
    <d v="2023-07-13T00:00:00"/>
    <n v="114"/>
    <s v="white"/>
    <x v="1"/>
    <n v="154"/>
    <n v="1"/>
    <n v="5"/>
    <n v="1"/>
    <n v="30.59"/>
    <n v="1.1126"/>
    <d v="1899-12-30T11:50:15"/>
    <d v="1899-12-30T18:06:00"/>
    <m/>
    <n v="37.200000000000003"/>
    <n v="37.261000000000003"/>
    <n v="6.0999999999999943E-2"/>
    <s v="6:15:45"/>
    <n v="6.0000000000000001E-3"/>
    <n v="37.255000000000003"/>
    <n v="5.4999999999999716E-2"/>
    <n v="37.227500000000006"/>
  </r>
  <r>
    <n v="89"/>
    <s v="LCKM159"/>
    <s v="LCKM155"/>
    <x v="1"/>
    <s v="Cockermouth Island"/>
    <d v="2023-02-10T00:00:00"/>
    <d v="2023-06-09T00:00:00"/>
    <n v="119"/>
    <s v="na"/>
    <x v="2"/>
    <n v="328"/>
    <n v="2"/>
    <s v="na"/>
    <s v="na"/>
    <n v="30.07"/>
    <n v="1.1014999999999999"/>
    <d v="1899-12-30T11:33:47"/>
    <d v="1899-12-30T17:49:00"/>
    <s v="na"/>
    <s v="na"/>
    <s v="na"/>
    <s v="na"/>
    <s v="6:15:13"/>
    <s v="na"/>
    <s v="na"/>
    <s v="na"/>
    <n v="37.229999999999997"/>
  </r>
  <r>
    <n v="99"/>
    <s v="CARL335"/>
    <s v="CARL359"/>
    <x v="0"/>
    <s v="Arlington Reef"/>
    <d v="2023-02-23T00:00:00"/>
    <d v="2023-07-13T00:00:00"/>
    <n v="140"/>
    <s v="red"/>
    <x v="2"/>
    <n v="258"/>
    <n v="1"/>
    <n v="4"/>
    <n v="1"/>
    <n v="34.19"/>
    <n v="1.7552000000000001"/>
    <d v="1899-12-30T11:50:15"/>
    <d v="1899-12-30T18:02:00"/>
    <m/>
    <n v="37.299999999999997"/>
    <n v="37.177999999999997"/>
    <n v="-0.12199999999999989"/>
    <s v="6:11:45"/>
    <n v="1.7999999999999999E-2"/>
    <n v="37.159999999999997"/>
    <n v="-0.14000000000000057"/>
    <n v="37.229999999999997"/>
  </r>
  <r>
    <n v="110"/>
    <s v="CPRE453"/>
    <s v="CPRE459"/>
    <x v="0"/>
    <s v="Pretty Patches"/>
    <d v="2023-03-07T00:00:00"/>
    <d v="2023-07-12T00:00:00"/>
    <n v="127"/>
    <s v="white"/>
    <x v="1"/>
    <n v="151"/>
    <n v="2"/>
    <n v="2"/>
    <n v="5"/>
    <n v="27.3"/>
    <n v="0.82340000000000002"/>
    <d v="1899-12-30T12:13:52"/>
    <d v="1899-12-30T18:29:00"/>
    <m/>
    <m/>
    <n v="37.287999999999997"/>
    <m/>
    <s v="6:15:08"/>
    <n v="5.6599999999999998E-2"/>
    <n v="37.231399999999994"/>
    <m/>
    <n v="37.231399999999994"/>
  </r>
  <r>
    <n v="110"/>
    <s v="CPRE453"/>
    <s v="CPRE459"/>
    <x v="0"/>
    <s v="Pretty Patches"/>
    <d v="2023-03-07T00:00:00"/>
    <d v="2023-07-12T00:00:00"/>
    <n v="127"/>
    <s v="white"/>
    <x v="1"/>
    <n v="151"/>
    <n v="2"/>
    <n v="2"/>
    <n v="4"/>
    <n v="33.24"/>
    <n v="1.6597999999999999"/>
    <d v="1899-12-30T12:13:52"/>
    <d v="1899-12-30T18:29:00"/>
    <m/>
    <m/>
    <n v="37.287999999999997"/>
    <m/>
    <s v="6:15:08"/>
    <n v="5.6599999999999998E-2"/>
    <n v="37.231399999999994"/>
    <m/>
    <n v="37.231399999999994"/>
  </r>
  <r>
    <n v="101"/>
    <s v="LSBI028"/>
    <s v="LSBI027"/>
    <x v="1"/>
    <s v="St. Bee's Island"/>
    <d v="2023-02-25T00:00:00"/>
    <d v="2023-07-13T00:00:00"/>
    <n v="138"/>
    <s v="white"/>
    <x v="1"/>
    <n v="135"/>
    <n v="2"/>
    <n v="1"/>
    <n v="1"/>
    <n v="31.72"/>
    <n v="1.2737000000000001"/>
    <d v="1899-12-30T11:50:15"/>
    <d v="1899-12-30T18:02:00"/>
    <m/>
    <n v="37.299999999999997"/>
    <n v="37.232999999999997"/>
    <n v="-6.7000000000000171E-2"/>
    <s v="6:11:45"/>
    <n v="6.8000000000000005E-2"/>
    <n v="37.164999999999999"/>
    <n v="-0.13499999999999801"/>
    <n v="37.232500000000002"/>
  </r>
  <r>
    <n v="101"/>
    <s v="LSBI028"/>
    <s v="LSBI027"/>
    <x v="1"/>
    <s v="St. Bee's Island"/>
    <d v="2023-02-25T00:00:00"/>
    <d v="2023-07-13T00:00:00"/>
    <n v="138"/>
    <s v="white"/>
    <x v="1"/>
    <n v="135"/>
    <n v="2"/>
    <n v="1"/>
    <n v="2"/>
    <n v="33.159999999999997"/>
    <n v="1.5092000000000001"/>
    <d v="1899-12-30T11:50:15"/>
    <d v="1899-12-30T18:02:00"/>
    <m/>
    <n v="37.299999999999997"/>
    <n v="37.232999999999997"/>
    <n v="-6.7000000000000171E-2"/>
    <s v="6:11:45"/>
    <n v="6.8000000000000005E-2"/>
    <n v="37.164999999999999"/>
    <n v="-0.13499999999999801"/>
    <n v="37.232500000000002"/>
  </r>
  <r>
    <n v="108"/>
    <s v="CARL369"/>
    <s v="CARL349"/>
    <x v="0"/>
    <s v="Arlington Reef"/>
    <d v="2023-03-05T00:00:00"/>
    <d v="2023-07-13T00:00:00"/>
    <n v="130"/>
    <s v="blue"/>
    <x v="0"/>
    <n v="236"/>
    <n v="1"/>
    <n v="3"/>
    <n v="3"/>
    <n v="35.76"/>
    <n v="1.8208"/>
    <d v="1899-12-30T11:50:15"/>
    <d v="1899-12-30T18:03:00"/>
    <m/>
    <m/>
    <n v="37.261000000000003"/>
    <m/>
    <s v="6:12:45"/>
    <n v="2.3E-2"/>
    <n v="37.238"/>
    <m/>
    <n v="37.238"/>
  </r>
  <r>
    <n v="108"/>
    <s v="CARL369"/>
    <s v="CARL349"/>
    <x v="0"/>
    <s v="Arlington Reef"/>
    <d v="2023-03-05T00:00:00"/>
    <d v="2023-07-13T00:00:00"/>
    <n v="130"/>
    <s v="red"/>
    <x v="2"/>
    <n v="254"/>
    <n v="1"/>
    <n v="3"/>
    <n v="5"/>
    <n v="30.81"/>
    <n v="1.1646000000000001"/>
    <d v="1899-12-30T11:50:15"/>
    <d v="1899-12-30T18:03:00"/>
    <m/>
    <m/>
    <n v="37.261000000000003"/>
    <m/>
    <s v="6:12:45"/>
    <n v="2.3E-2"/>
    <n v="37.238"/>
    <m/>
    <n v="37.238"/>
  </r>
  <r>
    <n v="65"/>
    <s v="LSBI028"/>
    <s v="LSBI027"/>
    <x v="1"/>
    <s v="St. Bee's Island"/>
    <d v="2023-01-27T00:00:00"/>
    <d v="2023-06-06T00:00:00"/>
    <n v="130"/>
    <s v="red"/>
    <x v="2"/>
    <n v="126"/>
    <n v="2"/>
    <n v="5"/>
    <n v="2"/>
    <n v="27.96"/>
    <n v="0.84440000000000004"/>
    <d v="1899-12-30T10:33:39"/>
    <d v="1899-12-30T17:24:00"/>
    <n v="37.293999999999997"/>
    <n v="37.299999999999997"/>
    <n v="37.287999999999997"/>
    <n v="-1.2000000000000455E-2"/>
    <s v="6:50:21"/>
    <n v="0.10340000000000001"/>
    <n v="37.184599999999996"/>
    <n v="-0.11540000000000106"/>
    <n v="37.2423"/>
  </r>
  <r>
    <n v="108"/>
    <s v="CARL369"/>
    <s v="CARL349"/>
    <x v="0"/>
    <s v="Arlington Reef"/>
    <d v="2023-03-05T00:00:00"/>
    <d v="2023-07-06T00:00:00"/>
    <n v="123"/>
    <s v="blue"/>
    <x v="2"/>
    <n v="254"/>
    <n v="1"/>
    <n v="4"/>
    <n v="3"/>
    <n v="29.71"/>
    <n v="1.2158"/>
    <d v="1899-12-30T11:43:22"/>
    <d v="1899-12-30T18:00:00"/>
    <m/>
    <n v="37.200000000000003"/>
    <n v="37.261000000000003"/>
    <n v="6.0999999999999943E-2"/>
    <s v="6:16:38"/>
    <n v="-2.92E-2"/>
    <n v="37.290200000000006"/>
    <n v="9.0200000000002944E-2"/>
    <n v="37.245100000000008"/>
  </r>
  <r>
    <n v="75"/>
    <s v="LSBI034"/>
    <s v="LCHA120"/>
    <x v="1"/>
    <s v="Chauvel Reef/St. Bee's Island"/>
    <d v="2023-02-02T00:00:00"/>
    <d v="2023-06-11T00:00:00"/>
    <n v="129"/>
    <s v="na"/>
    <x v="2"/>
    <n v="355"/>
    <n v="1"/>
    <s v="na"/>
    <s v="na"/>
    <n v="34.83"/>
    <n v="1.556"/>
    <d v="1899-12-30T13:01:00"/>
    <d v="1899-12-30T19:18:00"/>
    <s v="na"/>
    <s v="na"/>
    <s v="na"/>
    <s v="na"/>
    <s v="6:17:00"/>
    <s v="na"/>
    <s v="na"/>
    <s v="na"/>
    <n v="37.25"/>
  </r>
  <r>
    <n v="75"/>
    <s v="LSBI034"/>
    <s v="LCHA120"/>
    <x v="1"/>
    <s v="Chauvel Reef/St. Bee's Island"/>
    <d v="2023-02-02T00:00:00"/>
    <d v="2023-06-11T00:00:00"/>
    <n v="129"/>
    <s v="na"/>
    <x v="2"/>
    <n v="355"/>
    <n v="1"/>
    <s v="na"/>
    <s v="na"/>
    <n v="39.28"/>
    <n v="2.1680000000000001"/>
    <d v="1899-12-30T13:01:00"/>
    <d v="1899-12-30T19:18:00"/>
    <s v="na"/>
    <s v="na"/>
    <s v="na"/>
    <s v="na"/>
    <s v="6:17:00"/>
    <s v="na"/>
    <s v="na"/>
    <s v="na"/>
    <n v="37.25"/>
  </r>
  <r>
    <n v="87"/>
    <s v="CRUS426"/>
    <s v="CRUS360"/>
    <x v="0"/>
    <s v="Russel Island"/>
    <d v="2023-02-16T00:00:00"/>
    <d v="2023-06-11T00:00:00"/>
    <n v="115"/>
    <s v="na"/>
    <x v="1"/>
    <n v="150"/>
    <n v="1"/>
    <s v="na"/>
    <s v="na"/>
    <n v="30.77"/>
    <n v="1.0487"/>
    <d v="1899-12-30T13:01:00"/>
    <d v="1899-12-30T19:18:00"/>
    <s v="na"/>
    <s v="na"/>
    <s v="na"/>
    <s v="na"/>
    <s v="6:17:00"/>
    <s v="na"/>
    <s v="na"/>
    <s v="na"/>
    <n v="37.25"/>
  </r>
  <r>
    <n v="87"/>
    <s v="CRUS426"/>
    <s v="CRUS360"/>
    <x v="0"/>
    <s v="Russel Island"/>
    <d v="2023-02-16T00:00:00"/>
    <d v="2023-06-11T00:00:00"/>
    <n v="115"/>
    <s v="na"/>
    <x v="1"/>
    <n v="150"/>
    <n v="1"/>
    <s v="na"/>
    <s v="na"/>
    <n v="31.97"/>
    <n v="1.4177"/>
    <d v="1899-12-30T13:01:00"/>
    <d v="1899-12-30T19:18:00"/>
    <s v="na"/>
    <s v="na"/>
    <s v="na"/>
    <s v="na"/>
    <s v="6:17:00"/>
    <s v="na"/>
    <s v="na"/>
    <s v="na"/>
    <n v="37.25"/>
  </r>
  <r>
    <n v="56"/>
    <s v="CARL217"/>
    <s v="CARL226"/>
    <x v="0"/>
    <s v="Arlington Reef"/>
    <d v="2023-01-12T00:00:00"/>
    <d v="2023-06-06T00:00:00"/>
    <n v="145"/>
    <s v="white"/>
    <x v="1"/>
    <n v="131"/>
    <n v="2"/>
    <n v="4"/>
    <n v="5"/>
    <n v="27.17"/>
    <n v="0.80100000000000005"/>
    <d v="1899-12-30T10:33:39"/>
    <d v="1899-12-30T17:19:30"/>
    <m/>
    <m/>
    <n v="37.2577"/>
    <m/>
    <s v="6:45:51"/>
    <n v="7.3099999999999997E-3"/>
    <n v="37.250390000000003"/>
    <m/>
    <n v="37.250390000000003"/>
  </r>
  <r>
    <n v="56"/>
    <s v="CARL217"/>
    <s v="CARL226"/>
    <x v="0"/>
    <s v="Arlington Reef"/>
    <d v="2023-01-12T00:00:00"/>
    <d v="2023-06-06T00:00:00"/>
    <n v="145"/>
    <s v="white"/>
    <x v="1"/>
    <n v="131"/>
    <n v="2"/>
    <n v="4"/>
    <n v="4"/>
    <n v="34.49"/>
    <n v="1.6060000000000001"/>
    <d v="1899-12-30T10:33:39"/>
    <d v="1899-12-30T17:19:30"/>
    <m/>
    <m/>
    <n v="37.2577"/>
    <m/>
    <s v="6:45:51"/>
    <n v="7.3099999999999997E-3"/>
    <n v="37.250390000000003"/>
    <m/>
    <n v="37.250390000000003"/>
  </r>
  <r>
    <n v="56"/>
    <s v="CARL217"/>
    <s v="CARL226"/>
    <x v="0"/>
    <s v="Arlington Reef"/>
    <d v="2023-01-12T00:00:00"/>
    <d v="2023-06-06T00:00:00"/>
    <n v="145"/>
    <s v="white"/>
    <x v="1"/>
    <n v="131"/>
    <n v="2"/>
    <n v="4"/>
    <n v="3"/>
    <n v="35.840000000000003"/>
    <n v="1.8169999999999999"/>
    <d v="1899-12-30T10:33:39"/>
    <d v="1899-12-30T17:19:30"/>
    <m/>
    <m/>
    <n v="37.2577"/>
    <m/>
    <s v="6:45:51"/>
    <n v="7.3099999999999997E-3"/>
    <n v="37.250390000000003"/>
    <m/>
    <n v="37.250390000000003"/>
  </r>
  <r>
    <n v="56"/>
    <s v="CARL217"/>
    <s v="CARL226"/>
    <x v="0"/>
    <s v="Arlington Reef"/>
    <d v="2023-01-12T00:00:00"/>
    <d v="2023-06-06T00:00:00"/>
    <n v="145"/>
    <s v="red"/>
    <x v="2"/>
    <n v="225"/>
    <n v="2"/>
    <n v="4"/>
    <n v="3"/>
    <n v="33"/>
    <n v="1.4209000000000001"/>
    <d v="1899-12-30T10:33:39"/>
    <d v="1899-12-30T17:19:30"/>
    <m/>
    <m/>
    <n v="37.2577"/>
    <m/>
    <s v="6:45:51"/>
    <n v="7.3099999999999997E-3"/>
    <n v="37.250390000000003"/>
    <m/>
    <n v="37.250390000000003"/>
  </r>
  <r>
    <n v="108"/>
    <s v="CARL369"/>
    <s v="CARL349"/>
    <x v="0"/>
    <s v="Arlington Reef"/>
    <d v="2023-03-05T00:00:00"/>
    <d v="2023-07-06T00:00:00"/>
    <n v="123"/>
    <s v="blue"/>
    <x v="2"/>
    <n v="254"/>
    <n v="1"/>
    <n v="4"/>
    <n v="4"/>
    <n v="27.48"/>
    <n v="0.92120000000000002"/>
    <d v="1899-12-30T11:43:22"/>
    <d v="1899-12-30T18:03:00"/>
    <m/>
    <n v="37.200000000000003"/>
    <n v="37.287999999999997"/>
    <n v="8.7999999999993861E-2"/>
    <s v="6:19:38"/>
    <n v="-2.92E-2"/>
    <n v="37.3172"/>
    <n v="0.11719999999999686"/>
    <n v="37.258600000000001"/>
  </r>
  <r>
    <n v="90"/>
    <s v="CSAT265"/>
    <s v="CSAT264"/>
    <x v="0"/>
    <s v="Satellite Reef"/>
    <d v="2023-02-20T00:00:00"/>
    <d v="2023-07-12T00:00:00"/>
    <n v="142"/>
    <s v="white"/>
    <x v="1"/>
    <n v="252"/>
    <n v="1"/>
    <n v="5"/>
    <n v="4"/>
    <n v="33.33"/>
    <n v="1.6052999999999999"/>
    <d v="1899-12-30T12:13:52"/>
    <d v="1899-12-30T18:35:00"/>
    <m/>
    <n v="37.299999999999997"/>
    <n v="37.343000000000004"/>
    <n v="4.3000000000006366E-2"/>
    <s v="6:21:08"/>
    <n v="0.111"/>
    <n v="37.232000000000006"/>
    <n v="-6.7999999999990735E-2"/>
    <n v="37.266000000000005"/>
  </r>
  <r>
    <n v="110"/>
    <s v="CPRE453"/>
    <s v="CPRE459"/>
    <x v="0"/>
    <s v="Pretty Patches"/>
    <d v="2023-03-07T00:00:00"/>
    <d v="2023-07-13T00:00:00"/>
    <n v="128"/>
    <s v="red"/>
    <x v="2"/>
    <n v="360"/>
    <n v="1"/>
    <n v="2"/>
    <n v="4"/>
    <n v="32.869999999999997"/>
    <n v="1.5385"/>
    <d v="1899-12-30T11:50:15"/>
    <d v="1899-12-30T18:02:00"/>
    <m/>
    <n v="37.299999999999997"/>
    <n v="37.261000000000003"/>
    <n v="-3.8999999999994373E-2"/>
    <s v="6:11:45"/>
    <n v="0"/>
    <n v="37.261000000000003"/>
    <n v="-3.8999999999994373E-2"/>
    <n v="37.280500000000004"/>
  </r>
  <r>
    <n v="89"/>
    <s v="LCKM159"/>
    <s v="LCKM155"/>
    <x v="1"/>
    <s v="Cockermouth Island"/>
    <d v="2023-02-10T00:00:00"/>
    <d v="2023-06-06T00:00:00"/>
    <n v="116"/>
    <s v="red"/>
    <x v="2"/>
    <n v="257"/>
    <n v="1"/>
    <n v="1"/>
    <n v="4"/>
    <n v="32.22"/>
    <n v="1.4919"/>
    <d v="1899-12-30T10:33:39"/>
    <d v="1899-12-30T17:20:00"/>
    <n v="37.287999999999997"/>
    <m/>
    <n v="37.287999999999997"/>
    <m/>
    <s v="6:46:21"/>
    <n v="7.3099999999999997E-3"/>
    <n v="37.28069"/>
    <m/>
    <n v="37.28069"/>
  </r>
  <r>
    <n v="65"/>
    <s v="LSBI028"/>
    <s v="LSBI027"/>
    <x v="1"/>
    <s v="St. Bee's Island"/>
    <d v="2023-01-27T00:00:00"/>
    <d v="2023-06-06T00:00:00"/>
    <n v="130"/>
    <s v="red"/>
    <x v="2"/>
    <n v="126"/>
    <n v="2"/>
    <n v="5"/>
    <n v="5"/>
    <n v="20.62"/>
    <n v="0.3594"/>
    <d v="1899-12-30T10:33:39"/>
    <d v="1899-12-30T17:28:00"/>
    <n v="37.334999999999994"/>
    <n v="37.299999999999997"/>
    <n v="37.369999999999997"/>
    <n v="7.0000000000000284E-2"/>
    <s v="6:54:21"/>
    <n v="0.10340000000000001"/>
    <n v="37.266599999999997"/>
    <n v="-3.3400000000000318E-2"/>
    <n v="37.283299999999997"/>
  </r>
  <r>
    <n v="87"/>
    <s v="CRUS426"/>
    <s v="CRUS360"/>
    <x v="0"/>
    <s v="Russel Island"/>
    <d v="2023-02-16T00:00:00"/>
    <d v="2023-06-06T00:00:00"/>
    <n v="110"/>
    <s v="red"/>
    <x v="2"/>
    <n v="125"/>
    <n v="2"/>
    <n v="6"/>
    <n v="3"/>
    <n v="26.85"/>
    <n v="0.79459999999999997"/>
    <d v="1899-12-30T10:33:39"/>
    <d v="1899-12-30T17:21:00"/>
    <n v="37.293999999999997"/>
    <n v="37.299999999999997"/>
    <n v="37.287999999999997"/>
    <n v="-1.2000000000000455E-2"/>
    <s v="6:47:21"/>
    <n v="7.3099999999999997E-3"/>
    <n v="37.28069"/>
    <n v="-1.9309999999997274E-2"/>
    <n v="37.290345000000002"/>
  </r>
  <r>
    <n v="87"/>
    <s v="CRUS426"/>
    <s v="CRUS360"/>
    <x v="0"/>
    <s v="Russel Island"/>
    <d v="2023-02-16T00:00:00"/>
    <d v="2023-06-06T00:00:00"/>
    <n v="110"/>
    <s v="red"/>
    <x v="2"/>
    <n v="125"/>
    <n v="2"/>
    <n v="6"/>
    <n v="4"/>
    <n v="30.46"/>
    <n v="1.1372"/>
    <d v="1899-12-30T10:33:39"/>
    <d v="1899-12-30T17:21:00"/>
    <n v="37.293999999999997"/>
    <n v="37.299999999999997"/>
    <n v="37.287999999999997"/>
    <n v="-1.2000000000000455E-2"/>
    <s v="6:47:21"/>
    <n v="7.3099999999999997E-3"/>
    <n v="37.28069"/>
    <n v="-1.9309999999997274E-2"/>
    <n v="37.290345000000002"/>
  </r>
  <r>
    <n v="87"/>
    <s v="CRUS426"/>
    <s v="CRUS360"/>
    <x v="0"/>
    <s v="Russel Island"/>
    <d v="2023-02-16T00:00:00"/>
    <d v="2023-06-06T00:00:00"/>
    <n v="110"/>
    <s v="red"/>
    <x v="2"/>
    <n v="125"/>
    <n v="2"/>
    <n v="6"/>
    <n v="2"/>
    <n v="30.29"/>
    <n v="1.2727999999999999"/>
    <d v="1899-12-30T10:33:39"/>
    <d v="1899-12-30T17:21:00"/>
    <n v="37.293999999999997"/>
    <n v="37.299999999999997"/>
    <n v="37.287999999999997"/>
    <n v="-1.2000000000000455E-2"/>
    <s v="6:47:21"/>
    <n v="7.3099999999999997E-3"/>
    <n v="37.28069"/>
    <n v="-1.9309999999997274E-2"/>
    <n v="37.290345000000002"/>
  </r>
  <r>
    <n v="108"/>
    <s v="CARL369"/>
    <s v="CARL349"/>
    <x v="0"/>
    <s v="Arlington Reef"/>
    <d v="2023-03-05T00:00:00"/>
    <d v="2023-07-13T00:00:00"/>
    <n v="130"/>
    <s v="red"/>
    <x v="2"/>
    <n v="254"/>
    <n v="1"/>
    <n v="3"/>
    <n v="2"/>
    <n v="29.3"/>
    <n v="1.0295000000000001"/>
    <d v="1899-12-30T11:50:15"/>
    <d v="1899-12-30T18:07:00"/>
    <m/>
    <m/>
    <n v="37.314999999999998"/>
    <m/>
    <s v="6:16:45"/>
    <n v="2.3E-2"/>
    <n v="37.291999999999994"/>
    <m/>
    <n v="37.291999999999994"/>
  </r>
  <r>
    <n v="108"/>
    <s v="CARL369"/>
    <s v="CARL349"/>
    <x v="0"/>
    <s v="Arlington Reef"/>
    <d v="2023-03-05T00:00:00"/>
    <d v="2023-07-13T00:00:00"/>
    <n v="130"/>
    <s v="red"/>
    <x v="2"/>
    <n v="254"/>
    <n v="1"/>
    <n v="3"/>
    <n v="3"/>
    <n v="29.53"/>
    <n v="1.097"/>
    <d v="1899-12-30T11:50:15"/>
    <d v="1899-12-30T18:07:00"/>
    <m/>
    <m/>
    <n v="37.314999999999998"/>
    <m/>
    <s v="6:16:45"/>
    <n v="2.3E-2"/>
    <n v="37.291999999999994"/>
    <m/>
    <n v="37.291999999999994"/>
  </r>
  <r>
    <n v="108"/>
    <s v="CARL369"/>
    <s v="CARL349"/>
    <x v="0"/>
    <s v="Arlington Reef"/>
    <d v="2023-03-05T00:00:00"/>
    <d v="2023-07-13T00:00:00"/>
    <n v="130"/>
    <s v="red"/>
    <x v="2"/>
    <n v="254"/>
    <n v="1"/>
    <n v="3"/>
    <n v="1"/>
    <n v="35.200000000000003"/>
    <n v="1.8240000000000001"/>
    <d v="1899-12-30T11:50:15"/>
    <d v="1899-12-30T18:07:00"/>
    <m/>
    <m/>
    <n v="37.314999999999998"/>
    <m/>
    <s v="6:16:45"/>
    <n v="2.3E-2"/>
    <n v="37.291999999999994"/>
    <m/>
    <n v="37.291999999999994"/>
  </r>
  <r>
    <n v="96"/>
    <s v="CARL338"/>
    <s v="CARL345"/>
    <x v="0"/>
    <s v="Arlington Reef"/>
    <d v="2023-02-23T00:00:00"/>
    <d v="2023-07-06T00:00:00"/>
    <n v="133"/>
    <s v="blue"/>
    <x v="2"/>
    <n v="157"/>
    <n v="1"/>
    <n v="6"/>
    <n v="4"/>
    <n v="32.32"/>
    <n v="1.6343000000000001"/>
    <d v="1899-12-30T11:43:22"/>
    <d v="1899-12-30T18:02:00"/>
    <m/>
    <n v="37.299999999999997"/>
    <n v="37.287999999999997"/>
    <n v="-1.2000000000000455E-2"/>
    <s v="6:18:38"/>
    <n v="7.6999999999999996E-4"/>
    <n v="37.287229999999994"/>
    <n v="-1.2770000000003279E-2"/>
    <n v="37.293614999999996"/>
  </r>
  <r>
    <n v="90"/>
    <s v="CSAT265"/>
    <s v="CSAT264"/>
    <x v="0"/>
    <s v="Satellite Reef"/>
    <d v="2023-02-20T00:00:00"/>
    <d v="2023-07-06T00:00:00"/>
    <n v="136"/>
    <s v="blue"/>
    <x v="2"/>
    <n v="356"/>
    <n v="2"/>
    <n v="1"/>
    <n v="3"/>
    <n v="36.32"/>
    <n v="1.968"/>
    <d v="1899-12-30T11:43:22"/>
    <d v="1899-12-30T18:02:00"/>
    <m/>
    <n v="37.299999999999997"/>
    <n v="37.398000000000003"/>
    <n v="9.8000000000006082E-2"/>
    <s v="6:18:38"/>
    <n v="0.10299999999999999"/>
    <n v="37.295000000000002"/>
    <n v="-4.9999999999954525E-3"/>
    <n v="37.297499999999999"/>
  </r>
  <r>
    <n v="56"/>
    <s v="CARL217"/>
    <s v="CARL226"/>
    <x v="0"/>
    <s v="Arlington Reef"/>
    <d v="2023-01-12T00:00:00"/>
    <d v="2023-06-01T00:00:00"/>
    <n v="140"/>
    <s v="white"/>
    <x v="1"/>
    <n v="253"/>
    <n v="1"/>
    <n v="4"/>
    <n v="5"/>
    <n v="31.38"/>
    <n v="1.0319"/>
    <d v="1899-12-30T12:17:20"/>
    <d v="1899-12-30T18:46:00"/>
    <n v="37.299999999999997"/>
    <n v="37.299999999999997"/>
    <s v="na"/>
    <m/>
    <s v="6:28:40"/>
    <s v="na"/>
    <s v="na"/>
    <s v="na"/>
    <n v="37.299999999999997"/>
  </r>
  <r>
    <n v="56"/>
    <s v="CARL217"/>
    <s v="CARL226"/>
    <x v="0"/>
    <s v="Arlington Reef"/>
    <d v="2023-01-12T00:00:00"/>
    <d v="2023-06-01T00:00:00"/>
    <n v="140"/>
    <s v="white"/>
    <x v="1"/>
    <n v="253"/>
    <n v="1"/>
    <n v="4"/>
    <n v="4"/>
    <n v="30.34"/>
    <n v="1.0465"/>
    <d v="1899-12-30T12:17:20"/>
    <m/>
    <n v="37.299999999999997"/>
    <n v="37.299999999999997"/>
    <s v="na"/>
    <m/>
    <e v="#VALUE!"/>
    <s v="na"/>
    <s v="na"/>
    <s v="na"/>
    <n v="37.299999999999997"/>
  </r>
  <r>
    <n v="56"/>
    <s v="CARL217"/>
    <s v="CARL226"/>
    <x v="0"/>
    <s v="Arlington Reef"/>
    <d v="2023-01-12T00:00:00"/>
    <d v="2023-06-01T00:00:00"/>
    <n v="140"/>
    <s v="white"/>
    <x v="1"/>
    <n v="253"/>
    <n v="1"/>
    <n v="4"/>
    <n v="1"/>
    <n v="29.48"/>
    <n v="1.0542"/>
    <d v="1899-12-30T12:17:20"/>
    <m/>
    <n v="37.299999999999997"/>
    <n v="37.299999999999997"/>
    <s v="na"/>
    <m/>
    <e v="#VALUE!"/>
    <s v="na"/>
    <s v="na"/>
    <s v="na"/>
    <n v="37.299999999999997"/>
  </r>
  <r>
    <n v="56"/>
    <s v="CARL217"/>
    <s v="CARL226"/>
    <x v="0"/>
    <s v="Arlington Reef"/>
    <d v="2023-01-12T00:00:00"/>
    <d v="2023-06-01T00:00:00"/>
    <n v="140"/>
    <s v="white"/>
    <x v="1"/>
    <n v="253"/>
    <n v="1"/>
    <n v="4"/>
    <n v="2"/>
    <n v="30.9"/>
    <n v="1.1526000000000001"/>
    <d v="1899-12-30T12:17:20"/>
    <m/>
    <n v="37.299999999999997"/>
    <n v="37.299999999999997"/>
    <s v="na"/>
    <m/>
    <e v="#VALUE!"/>
    <s v="na"/>
    <s v="na"/>
    <s v="na"/>
    <n v="37.299999999999997"/>
  </r>
  <r>
    <n v="60"/>
    <s v="LCKM159"/>
    <s v="LCKM155"/>
    <x v="1"/>
    <s v="Cockermouth Island"/>
    <d v="2023-01-17T00:00:00"/>
    <d v="2023-06-01T00:00:00"/>
    <n v="135"/>
    <s v="white"/>
    <x v="1"/>
    <n v="152"/>
    <n v="1"/>
    <n v="6"/>
    <n v="2"/>
    <n v="29.8"/>
    <n v="1.0305"/>
    <d v="1899-12-30T12:17:20"/>
    <d v="1899-12-30T18:38:00"/>
    <n v="37.299999999999997"/>
    <n v="37.299999999999997"/>
    <s v="na"/>
    <m/>
    <s v="6:20:40"/>
    <s v="na"/>
    <s v="na"/>
    <s v="na"/>
    <n v="37.299999999999997"/>
  </r>
  <r>
    <n v="60"/>
    <s v="LCKM159"/>
    <s v="LCKM155"/>
    <x v="1"/>
    <s v="Cockermouth Island"/>
    <d v="2023-01-17T00:00:00"/>
    <d v="2023-06-01T00:00:00"/>
    <n v="135"/>
    <s v="white"/>
    <x v="1"/>
    <n v="152"/>
    <n v="1"/>
    <n v="6"/>
    <n v="4"/>
    <n v="35.24"/>
    <n v="1.7748999999999999"/>
    <d v="1899-12-30T12:17:20"/>
    <d v="1899-12-30T18:36:00"/>
    <n v="37.299999999999997"/>
    <n v="37.299999999999997"/>
    <s v="na"/>
    <m/>
    <s v="6:18:40"/>
    <s v="na"/>
    <s v="na"/>
    <s v="na"/>
    <n v="37.299999999999997"/>
  </r>
  <r>
    <n v="60"/>
    <s v="LCKM159"/>
    <s v="LCKM155"/>
    <x v="1"/>
    <s v="Cockermouth Island"/>
    <d v="2023-01-17T00:00:00"/>
    <d v="2023-06-01T00:00:00"/>
    <n v="135"/>
    <s v="blue"/>
    <x v="2"/>
    <n v="357"/>
    <n v="1"/>
    <n v="6"/>
    <n v="4"/>
    <n v="27.5"/>
    <n v="0.73280000000000001"/>
    <d v="1899-12-30T12:17:20"/>
    <d v="1899-12-30T18:38:00"/>
    <n v="37.299999999999997"/>
    <n v="37.299999999999997"/>
    <s v="na"/>
    <m/>
    <s v="6:20:40"/>
    <s v="na"/>
    <s v="na"/>
    <s v="na"/>
    <n v="37.299999999999997"/>
  </r>
  <r>
    <n v="60"/>
    <s v="LCKM159"/>
    <s v="LCKM155"/>
    <x v="1"/>
    <s v="Cockermouth Island"/>
    <d v="2023-01-17T00:00:00"/>
    <d v="2023-06-01T00:00:00"/>
    <n v="135"/>
    <s v="blue"/>
    <x v="2"/>
    <n v="357"/>
    <n v="1"/>
    <n v="6"/>
    <n v="3"/>
    <n v="28.13"/>
    <n v="0.86050000000000004"/>
    <d v="1899-12-30T12:17:20"/>
    <d v="1899-12-30T18:38:00"/>
    <n v="37.299999999999997"/>
    <n v="37.299999999999997"/>
    <s v="na"/>
    <m/>
    <s v="6:20:40"/>
    <s v="na"/>
    <s v="na"/>
    <s v="na"/>
    <n v="37.299999999999997"/>
  </r>
  <r>
    <n v="60"/>
    <s v="LCKM159"/>
    <s v="LCKM155"/>
    <x v="1"/>
    <s v="Cockermouth Island"/>
    <d v="2023-01-17T00:00:00"/>
    <d v="2023-06-01T00:00:00"/>
    <n v="135"/>
    <s v="blue"/>
    <x v="2"/>
    <n v="357"/>
    <n v="1"/>
    <n v="6"/>
    <n v="1"/>
    <n v="29.95"/>
    <n v="1.0333000000000001"/>
    <d v="1899-12-30T12:17:20"/>
    <m/>
    <n v="37.299999999999997"/>
    <n v="37.299999999999997"/>
    <s v="na"/>
    <m/>
    <e v="#VALUE!"/>
    <s v="na"/>
    <s v="na"/>
    <s v="na"/>
    <n v="37.299999999999997"/>
  </r>
  <r>
    <n v="65"/>
    <s v="LSBI028"/>
    <s v="LSBI027"/>
    <x v="1"/>
    <s v="St. Bee's Island"/>
    <d v="2023-01-27T00:00:00"/>
    <d v="2023-06-09T00:00:00"/>
    <n v="133"/>
    <s v="na"/>
    <x v="2"/>
    <n v="126"/>
    <n v="2"/>
    <s v="na"/>
    <s v="na"/>
    <n v="30.02"/>
    <n v="1.0629999999999999"/>
    <d v="1899-12-30T11:33:47"/>
    <d v="1899-12-30T17:37:00"/>
    <n v="37.299999999999997"/>
    <s v="na"/>
    <s v="na"/>
    <s v="na"/>
    <s v="na"/>
    <s v="na"/>
    <s v="na"/>
    <s v="na"/>
    <n v="37.299999999999997"/>
  </r>
  <r>
    <n v="69"/>
    <s v="LCKM164"/>
    <s v="LCKM156"/>
    <x v="1"/>
    <s v="Cockermouth Island"/>
    <d v="2023-01-30T00:00:00"/>
    <d v="2023-06-01T00:00:00"/>
    <n v="122"/>
    <s v="white"/>
    <x v="1"/>
    <n v="352"/>
    <n v="1"/>
    <n v="5"/>
    <n v="5"/>
    <n v="32.14"/>
    <n v="1.1043000000000001"/>
    <d v="1899-12-30T12:17:20"/>
    <m/>
    <n v="37.299999999999997"/>
    <n v="37.299999999999997"/>
    <s v="na"/>
    <m/>
    <e v="#VALUE!"/>
    <s v="na"/>
    <s v="na"/>
    <s v="na"/>
    <n v="37.299999999999997"/>
  </r>
  <r>
    <n v="74"/>
    <s v="LSBI023"/>
    <s v="LCHA118"/>
    <x v="1"/>
    <s v="Chauvel Reef/St. Bee's Island"/>
    <d v="2023-02-01T00:00:00"/>
    <d v="2023-06-01T00:00:00"/>
    <n v="120"/>
    <s v="blue"/>
    <x v="2"/>
    <n v="227"/>
    <n v="1"/>
    <n v="1"/>
    <n v="2"/>
    <n v="27.84"/>
    <n v="0.90349999999999997"/>
    <d v="1899-12-30T12:17:20"/>
    <m/>
    <n v="37.299999999999997"/>
    <n v="37.299999999999997"/>
    <s v="na"/>
    <m/>
    <e v="#VALUE!"/>
    <s v="na"/>
    <s v="na"/>
    <s v="na"/>
    <n v="37.299999999999997"/>
  </r>
  <r>
    <n v="74"/>
    <s v="LSBI023"/>
    <s v="LCHA118"/>
    <x v="1"/>
    <s v="Chauvel Reef/St. Bee's Island"/>
    <d v="2023-02-01T00:00:00"/>
    <d v="2023-06-01T00:00:00"/>
    <n v="120"/>
    <s v="blue"/>
    <x v="2"/>
    <n v="227"/>
    <n v="1"/>
    <n v="1"/>
    <n v="1"/>
    <n v="29.91"/>
    <n v="0.9345"/>
    <d v="1899-12-30T12:17:20"/>
    <m/>
    <n v="37.299999999999997"/>
    <n v="37.299999999999997"/>
    <s v="na"/>
    <m/>
    <e v="#VALUE!"/>
    <s v="na"/>
    <s v="na"/>
    <s v="na"/>
    <n v="37.299999999999997"/>
  </r>
  <r>
    <n v="75"/>
    <s v="LSBI034"/>
    <s v="LCHA120"/>
    <x v="1"/>
    <s v="Chauvel Reef/St. Bee's Island"/>
    <d v="2023-02-02T00:00:00"/>
    <d v="2023-06-01T00:00:00"/>
    <n v="119"/>
    <s v="blue"/>
    <x v="2"/>
    <n v="355"/>
    <n v="1"/>
    <n v="2"/>
    <n v="1"/>
    <n v="28"/>
    <n v="0.72940000000000005"/>
    <d v="1899-12-30T12:17:20"/>
    <m/>
    <n v="37.299999999999997"/>
    <n v="37.299999999999997"/>
    <s v="na"/>
    <m/>
    <e v="#VALUE!"/>
    <s v="na"/>
    <s v="na"/>
    <s v="na"/>
    <n v="37.299999999999997"/>
  </r>
  <r>
    <n v="75"/>
    <s v="LSBI034"/>
    <s v="LCHA120"/>
    <x v="1"/>
    <s v="Chauvel Reef/St. Bee's Island"/>
    <d v="2023-02-02T00:00:00"/>
    <d v="2023-06-01T00:00:00"/>
    <n v="119"/>
    <s v="blue"/>
    <x v="2"/>
    <n v="355"/>
    <n v="1"/>
    <n v="2"/>
    <n v="4"/>
    <n v="29.63"/>
    <n v="0.90059999999999996"/>
    <d v="1899-12-30T12:17:20"/>
    <m/>
    <n v="37.299999999999997"/>
    <n v="37.299999999999997"/>
    <s v="na"/>
    <m/>
    <e v="#VALUE!"/>
    <s v="na"/>
    <s v="na"/>
    <s v="na"/>
    <n v="37.299999999999997"/>
  </r>
  <r>
    <n v="75"/>
    <s v="LSBI034"/>
    <s v="LCHA120"/>
    <x v="1"/>
    <s v="Chauvel Reef/St. Bee's Island"/>
    <d v="2023-02-02T00:00:00"/>
    <d v="2023-06-01T00:00:00"/>
    <n v="119"/>
    <s v="blue"/>
    <x v="2"/>
    <n v="355"/>
    <n v="1"/>
    <n v="2"/>
    <n v="3"/>
    <n v="32.53"/>
    <n v="1.3181"/>
    <d v="1899-12-30T12:17:20"/>
    <m/>
    <n v="37.299999999999997"/>
    <n v="37.299999999999997"/>
    <s v="na"/>
    <m/>
    <e v="#VALUE!"/>
    <s v="na"/>
    <s v="na"/>
    <s v="na"/>
    <n v="37.299999999999997"/>
  </r>
  <r>
    <n v="75"/>
    <s v="LSBI034"/>
    <s v="LCHA120"/>
    <x v="1"/>
    <s v="Chauvel Reef/St. Bee's Island"/>
    <d v="2023-02-02T00:00:00"/>
    <d v="2023-06-01T00:00:00"/>
    <n v="119"/>
    <s v="blue"/>
    <x v="2"/>
    <n v="355"/>
    <n v="1"/>
    <n v="2"/>
    <n v="2"/>
    <n v="32.770000000000003"/>
    <n v="1.3269"/>
    <d v="1899-12-30T12:17:20"/>
    <m/>
    <n v="37.299999999999997"/>
    <n v="37.299999999999997"/>
    <s v="na"/>
    <m/>
    <e v="#VALUE!"/>
    <s v="na"/>
    <s v="na"/>
    <s v="na"/>
    <n v="37.299999999999997"/>
  </r>
  <r>
    <n v="75"/>
    <s v="LSBI034"/>
    <s v="LCHA120"/>
    <x v="1"/>
    <s v="Chauvel Reef/St. Bee's Island"/>
    <d v="2023-02-02T00:00:00"/>
    <d v="2023-06-01T00:00:00"/>
    <n v="119"/>
    <s v="blue"/>
    <x v="2"/>
    <n v="355"/>
    <n v="1"/>
    <n v="2"/>
    <n v="5"/>
    <n v="34.5"/>
    <n v="1.6419999999999999"/>
    <d v="1899-12-30T12:17:20"/>
    <m/>
    <n v="37.299999999999997"/>
    <n v="37.299999999999997"/>
    <s v="na"/>
    <m/>
    <e v="#VALUE!"/>
    <s v="na"/>
    <s v="na"/>
    <s v="na"/>
    <n v="37.299999999999997"/>
  </r>
  <r>
    <n v="89"/>
    <s v="LCKM159"/>
    <s v="LCKM155"/>
    <x v="1"/>
    <s v="Cockermouth Island"/>
    <d v="2023-02-10T00:00:00"/>
    <d v="2023-06-01T00:00:00"/>
    <n v="111"/>
    <s v="blue"/>
    <x v="2"/>
    <n v="328"/>
    <n v="2"/>
    <n v="3"/>
    <n v="1"/>
    <n v="27.63"/>
    <n v="0.78500000000000003"/>
    <d v="1899-12-30T12:17:20"/>
    <m/>
    <n v="37.299999999999997"/>
    <n v="37.299999999999997"/>
    <s v="na"/>
    <m/>
    <e v="#VALUE!"/>
    <s v="na"/>
    <s v="na"/>
    <s v="na"/>
    <n v="37.299999999999997"/>
  </r>
  <r>
    <n v="89"/>
    <s v="LCKM159"/>
    <s v="LCKM155"/>
    <x v="1"/>
    <s v="Cockermouth Island"/>
    <d v="2023-02-10T00:00:00"/>
    <d v="2023-06-01T00:00:00"/>
    <n v="111"/>
    <s v="blue"/>
    <x v="2"/>
    <n v="328"/>
    <n v="2"/>
    <n v="3"/>
    <n v="5"/>
    <n v="29.87"/>
    <n v="0.91590000000000005"/>
    <d v="1899-12-30T12:17:20"/>
    <m/>
    <n v="37.299999999999997"/>
    <n v="37.299999999999997"/>
    <s v="na"/>
    <m/>
    <e v="#VALUE!"/>
    <s v="na"/>
    <s v="na"/>
    <s v="na"/>
    <n v="37.299999999999997"/>
  </r>
  <r>
    <n v="89"/>
    <s v="LCKM159"/>
    <s v="LCKM155"/>
    <x v="1"/>
    <s v="Cockermouth Island"/>
    <d v="2023-02-10T00:00:00"/>
    <d v="2023-06-01T00:00:00"/>
    <n v="111"/>
    <s v="blue"/>
    <x v="2"/>
    <n v="328"/>
    <n v="2"/>
    <n v="3"/>
    <n v="2"/>
    <n v="30.83"/>
    <n v="1"/>
    <d v="1899-12-30T12:17:20"/>
    <m/>
    <n v="37.299999999999997"/>
    <n v="37.299999999999997"/>
    <s v="na"/>
    <m/>
    <e v="#VALUE!"/>
    <s v="na"/>
    <s v="na"/>
    <s v="na"/>
    <n v="37.299999999999997"/>
  </r>
  <r>
    <n v="89"/>
    <s v="LCKM159"/>
    <s v="LCKM155"/>
    <x v="1"/>
    <s v="Cockermouth Island"/>
    <d v="2023-02-10T00:00:00"/>
    <d v="2023-06-01T00:00:00"/>
    <n v="111"/>
    <s v="blue"/>
    <x v="2"/>
    <n v="328"/>
    <n v="2"/>
    <n v="3"/>
    <n v="3"/>
    <n v="31.25"/>
    <n v="1.2212000000000001"/>
    <d v="1899-12-30T12:17:20"/>
    <m/>
    <n v="37.299999999999997"/>
    <n v="37.299999999999997"/>
    <s v="na"/>
    <m/>
    <e v="#VALUE!"/>
    <s v="na"/>
    <s v="na"/>
    <s v="na"/>
    <n v="37.299999999999997"/>
  </r>
  <r>
    <n v="120"/>
    <s v="CPRE550"/>
    <s v="CPRE533"/>
    <x v="0"/>
    <s v="Pretty Patches"/>
    <d v="2023-03-21T00:00:00"/>
    <d v="2023-07-13T00:00:00"/>
    <n v="114"/>
    <s v="white"/>
    <x v="1"/>
    <n v="154"/>
    <n v="1"/>
    <n v="5"/>
    <n v="3"/>
    <n v="30.7"/>
    <n v="1.2019"/>
    <d v="1899-12-30T11:50:15"/>
    <d v="1899-12-30T18:09:00"/>
    <m/>
    <n v="37.299999999999997"/>
    <n v="37.314999999999998"/>
    <n v="1.5000000000000568E-2"/>
    <s v="6:18:45"/>
    <n v="6.0000000000000001E-3"/>
    <n v="37.308999999999997"/>
    <n v="9.0000000000003411E-3"/>
    <n v="37.304499999999997"/>
  </r>
  <r>
    <n v="120"/>
    <s v="CPRE550"/>
    <s v="CPRE533"/>
    <x v="0"/>
    <s v="Pretty Patches"/>
    <d v="2023-03-21T00:00:00"/>
    <d v="2023-07-13T00:00:00"/>
    <n v="114"/>
    <s v="white"/>
    <x v="1"/>
    <n v="154"/>
    <n v="1"/>
    <n v="5"/>
    <n v="4"/>
    <n v="34.22"/>
    <n v="1.5605"/>
    <d v="1899-12-30T11:50:15"/>
    <d v="1899-12-30T18:09:00"/>
    <m/>
    <n v="37.299999999999997"/>
    <n v="37.314999999999998"/>
    <n v="1.5000000000000568E-2"/>
    <s v="6:18:45"/>
    <n v="6.0000000000000001E-3"/>
    <n v="37.308999999999997"/>
    <n v="9.0000000000003411E-3"/>
    <n v="37.304499999999997"/>
  </r>
  <r>
    <n v="120"/>
    <s v="CPRE550"/>
    <s v="CPRE533"/>
    <x v="0"/>
    <s v="Pretty Patches"/>
    <d v="2023-03-21T00:00:00"/>
    <d v="2023-07-13T00:00:00"/>
    <n v="114"/>
    <s v="white"/>
    <x v="1"/>
    <n v="154"/>
    <n v="1"/>
    <n v="5"/>
    <n v="2"/>
    <n v="34.08"/>
    <n v="1.6204000000000001"/>
    <d v="1899-12-30T11:50:15"/>
    <d v="1899-12-30T18:09:00"/>
    <m/>
    <n v="37.299999999999997"/>
    <n v="37.314999999999998"/>
    <n v="1.5000000000000568E-2"/>
    <s v="6:18:45"/>
    <n v="6.0000000000000001E-3"/>
    <n v="37.308999999999997"/>
    <n v="9.0000000000003411E-3"/>
    <n v="37.304499999999997"/>
  </r>
  <r>
    <n v="110"/>
    <s v="CPRE453"/>
    <s v="CPRE459"/>
    <x v="0"/>
    <s v="Pretty Patches"/>
    <d v="2023-03-07T00:00:00"/>
    <d v="2023-07-12T00:00:00"/>
    <n v="127"/>
    <s v="blue"/>
    <x v="2"/>
    <n v="325"/>
    <n v="2"/>
    <n v="2"/>
    <n v="4"/>
    <n v="33.06"/>
    <n v="1.5984"/>
    <d v="1899-12-30T12:13:52"/>
    <d v="1899-12-30T18:32:00"/>
    <m/>
    <n v="37.299999999999997"/>
    <n v="37.369999999999997"/>
    <n v="7.0000000000000284E-2"/>
    <s v="6:18:08"/>
    <n v="5.6599999999999998E-2"/>
    <n v="37.313399999999994"/>
    <n v="1.3399999999997192E-2"/>
    <n v="37.306699999999992"/>
  </r>
  <r>
    <n v="110"/>
    <s v="CPRE453"/>
    <s v="CPRE459"/>
    <x v="0"/>
    <s v="Pretty Patches"/>
    <d v="2023-03-07T00:00:00"/>
    <d v="2023-07-12T00:00:00"/>
    <n v="127"/>
    <s v="blue"/>
    <x v="2"/>
    <n v="325"/>
    <n v="2"/>
    <n v="2"/>
    <n v="5"/>
    <n v="34.44"/>
    <n v="1.8546"/>
    <d v="1899-12-30T12:13:52"/>
    <d v="1899-12-30T18:32:00"/>
    <m/>
    <n v="37.299999999999997"/>
    <n v="37.369999999999997"/>
    <n v="7.0000000000000284E-2"/>
    <s v="6:18:08"/>
    <n v="5.6599999999999998E-2"/>
    <n v="37.313399999999994"/>
    <n v="1.3399999999997192E-2"/>
    <n v="37.306699999999992"/>
  </r>
  <r>
    <n v="96"/>
    <s v="CARL338"/>
    <s v="CARL345"/>
    <x v="0"/>
    <s v="Arlington Reef"/>
    <d v="2023-02-23T00:00:00"/>
    <d v="2023-07-06T00:00:00"/>
    <n v="133"/>
    <s v="blue"/>
    <x v="2"/>
    <n v="157"/>
    <n v="1"/>
    <n v="6"/>
    <n v="5"/>
    <n v="35.68"/>
    <n v="2.0095999999999998"/>
    <d v="1899-12-30T11:43:22"/>
    <d v="1899-12-30T18:04:00"/>
    <m/>
    <n v="37.299999999999997"/>
    <n v="37.314999999999998"/>
    <n v="1.5000000000000568E-2"/>
    <s v="6:20:38"/>
    <n v="7.6999999999999996E-4"/>
    <n v="37.314229999999995"/>
    <n v="1.4229999999997744E-2"/>
    <n v="37.307114999999996"/>
  </r>
  <r>
    <n v="89"/>
    <s v="LCKM159"/>
    <s v="LCKM155"/>
    <x v="1"/>
    <s v="Cockermouth Island"/>
    <d v="2023-02-10T00:00:00"/>
    <d v="2023-06-06T00:00:00"/>
    <n v="116"/>
    <s v="red"/>
    <x v="2"/>
    <n v="257"/>
    <n v="1"/>
    <n v="1"/>
    <n v="5"/>
    <n v="37.979999999999997"/>
    <n v="2.4098999999999999"/>
    <d v="1899-12-30T10:33:39"/>
    <d v="1899-12-30T17:23:00"/>
    <n v="37.3215"/>
    <n v="37.299999999999997"/>
    <n v="37.343000000000004"/>
    <n v="4.3000000000006366E-2"/>
    <s v="6:49:21"/>
    <n v="7.3099999999999997E-3"/>
    <n v="37.335690000000007"/>
    <n v="3.5690000000009547E-2"/>
    <n v="37.317845000000005"/>
  </r>
  <r>
    <n v="89"/>
    <s v="LCKM159"/>
    <s v="LCKM155"/>
    <x v="1"/>
    <s v="Cockermouth Island"/>
    <d v="2023-02-10T00:00:00"/>
    <d v="2023-06-09T00:00:00"/>
    <n v="119"/>
    <s v="na"/>
    <x v="1"/>
    <n v="132"/>
    <n v="2"/>
    <s v="na"/>
    <s v="na"/>
    <n v="37.32"/>
    <n v="1.4525999999999999"/>
    <d v="1899-12-30T11:33:47"/>
    <d v="1899-12-30T17:49:00"/>
    <s v="na"/>
    <s v="na"/>
    <s v="na"/>
    <s v="na"/>
    <s v="6:15:13"/>
    <s v="na"/>
    <s v="na"/>
    <m/>
    <n v="37.32"/>
  </r>
  <r>
    <n v="108"/>
    <s v="CARL369"/>
    <s v="CARL349"/>
    <x v="0"/>
    <s v="Arlington Reef"/>
    <d v="2023-03-05T00:00:00"/>
    <d v="2023-07-13T00:00:00"/>
    <n v="130"/>
    <s v="red"/>
    <x v="2"/>
    <n v="254"/>
    <n v="1"/>
    <n v="3"/>
    <n v="4"/>
    <n v="28.01"/>
    <n v="0.88829999999999998"/>
    <d v="1899-12-30T11:50:15"/>
    <d v="1899-12-30T18:08:00"/>
    <m/>
    <m/>
    <n v="37.343000000000004"/>
    <m/>
    <s v="6:17:45"/>
    <n v="2.3E-2"/>
    <n v="37.32"/>
    <m/>
    <n v="37.32"/>
  </r>
  <r>
    <n v="89"/>
    <s v="LCKM159"/>
    <s v="LCKM155"/>
    <x v="1"/>
    <s v="Cockermouth Island"/>
    <d v="2023-02-10T00:00:00"/>
    <d v="2023-06-09T00:00:00"/>
    <n v="119"/>
    <s v="na"/>
    <x v="2"/>
    <n v="328"/>
    <n v="2"/>
    <s v="na"/>
    <s v="na"/>
    <n v="34.03"/>
    <n v="1.4483999999999999"/>
    <d v="1899-12-30T11:33:47"/>
    <d v="1899-12-30T17:52:00"/>
    <s v="na"/>
    <s v="na"/>
    <s v="na"/>
    <s v="na"/>
    <s v="6:18:13"/>
    <s v="na"/>
    <s v="na"/>
    <s v="na"/>
    <n v="37.340000000000003"/>
  </r>
  <r>
    <n v="87"/>
    <s v="CRUS426"/>
    <s v="CRUS360"/>
    <x v="0"/>
    <s v="Russel Island"/>
    <d v="2023-02-16T00:00:00"/>
    <d v="2023-06-09T00:00:00"/>
    <n v="113"/>
    <s v="red"/>
    <x v="2"/>
    <n v="125"/>
    <n v="1"/>
    <n v="2"/>
    <n v="4"/>
    <n v="27.29"/>
    <n v="0.90629999999999999"/>
    <d v="1899-12-30T11:33:47"/>
    <d v="1899-12-30T17:54:00"/>
    <n v="37.384999999999998"/>
    <n v="37.4"/>
    <n v="37.369999999999997"/>
    <n v="-3.0000000000001137E-2"/>
    <s v="6:20:13"/>
    <n v="7.5999999999999998E-2"/>
    <n v="37.293999999999997"/>
    <n v="-0.10600000000000165"/>
    <n v="37.346999999999994"/>
  </r>
  <r>
    <n v="87"/>
    <s v="CRUS426"/>
    <s v="CRUS360"/>
    <x v="0"/>
    <s v="Russel Island"/>
    <d v="2023-02-16T00:00:00"/>
    <d v="2023-06-09T00:00:00"/>
    <n v="113"/>
    <s v="red"/>
    <x v="2"/>
    <n v="125"/>
    <n v="1"/>
    <n v="2"/>
    <n v="5"/>
    <n v="39.46"/>
    <n v="1.0217000000000001"/>
    <d v="1899-12-30T11:33:47"/>
    <d v="1899-12-30T17:55:00"/>
    <n v="37.399000000000001"/>
    <n v="37.4"/>
    <n v="37.398000000000003"/>
    <n v="-1.9999999999953388E-3"/>
    <s v="6:21:13"/>
    <n v="7.5999999999999998E-2"/>
    <n v="37.322000000000003"/>
    <n v="-7.799999999999585E-2"/>
    <n v="37.361000000000004"/>
  </r>
  <r>
    <n v="87"/>
    <s v="CRUS426"/>
    <s v="CRUS360"/>
    <x v="0"/>
    <s v="Russel Island"/>
    <d v="2023-02-16T00:00:00"/>
    <d v="2023-06-09T00:00:00"/>
    <n v="113"/>
    <s v="red"/>
    <x v="2"/>
    <n v="125"/>
    <n v="1"/>
    <n v="2"/>
    <n v="3"/>
    <n v="30.98"/>
    <n v="1.3698999999999999"/>
    <d v="1899-12-30T11:33:47"/>
    <d v="1899-12-30T17:55:00"/>
    <n v="37.399000000000001"/>
    <n v="37.4"/>
    <n v="37.398000000000003"/>
    <n v="-1.9999999999953388E-3"/>
    <s v="6:21:13"/>
    <n v="7.5999999999999998E-2"/>
    <n v="37.322000000000003"/>
    <n v="-7.799999999999585E-2"/>
    <n v="37.361000000000004"/>
  </r>
  <r>
    <n v="110"/>
    <s v="CPRE453"/>
    <s v="CPRE459"/>
    <x v="0"/>
    <s v="Pretty Patches"/>
    <d v="2023-03-07T00:00:00"/>
    <d v="2023-07-13T00:00:00"/>
    <n v="128"/>
    <s v="red"/>
    <x v="2"/>
    <n v="360"/>
    <n v="1"/>
    <n v="2"/>
    <n v="2"/>
    <n v="34.11"/>
    <n v="1.5625"/>
    <d v="1899-12-30T11:50:15"/>
    <d v="1899-12-30T18:07:00"/>
    <m/>
    <n v="37.4"/>
    <n v="37.343000000000004"/>
    <n v="-5.6999999999995055E-2"/>
    <s v="6:16:45"/>
    <n v="0"/>
    <n v="37.343000000000004"/>
    <n v="-5.6999999999995055E-2"/>
    <n v="37.371499999999997"/>
  </r>
  <r>
    <n v="120"/>
    <s v="CPRE550"/>
    <s v="CPRE533"/>
    <x v="0"/>
    <s v="Pretty Patches"/>
    <d v="2023-03-21T00:00:00"/>
    <d v="2023-07-13T00:00:00"/>
    <n v="114"/>
    <s v="blue"/>
    <x v="0"/>
    <n v="140"/>
    <n v="2"/>
    <n v="5"/>
    <n v="5"/>
    <n v="35.64"/>
    <n v="1.7131000000000001"/>
    <d v="1899-12-30T11:50:15"/>
    <d v="1899-12-30T18:12:00"/>
    <m/>
    <n v="37.4"/>
    <n v="37.369999999999997"/>
    <n v="-3.0000000000001137E-2"/>
    <s v="6:21:45"/>
    <n v="6.0000000000000001E-3"/>
    <n v="37.363999999999997"/>
    <n v="-3.6000000000001364E-2"/>
    <n v="37.381999999999998"/>
  </r>
  <r>
    <n v="120"/>
    <s v="CPRE550"/>
    <s v="CPRE533"/>
    <x v="0"/>
    <s v="Pretty Patches"/>
    <d v="2023-03-21T00:00:00"/>
    <d v="2023-07-13T00:00:00"/>
    <n v="114"/>
    <s v="red"/>
    <x v="2"/>
    <n v="326"/>
    <n v="2"/>
    <n v="5"/>
    <n v="5"/>
    <n v="32.67"/>
    <n v="1.4432"/>
    <d v="1899-12-30T11:50:15"/>
    <d v="1899-12-30T18:13:00"/>
    <m/>
    <n v="37.4"/>
    <n v="37.398000000000003"/>
    <n v="-1.9999999999953388E-3"/>
    <s v="6:22:45"/>
    <n v="6.0000000000000001E-3"/>
    <n v="37.392000000000003"/>
    <n v="-7.9999999999955662E-3"/>
    <n v="37.396000000000001"/>
  </r>
  <r>
    <n v="60"/>
    <s v="LCKM159"/>
    <s v="LCKM155"/>
    <x v="1"/>
    <s v="Cockermouth Island"/>
    <d v="2023-01-17T00:00:00"/>
    <d v="2023-06-01T00:00:00"/>
    <n v="135"/>
    <s v="blue"/>
    <x v="2"/>
    <n v="357"/>
    <n v="1"/>
    <n v="6"/>
    <n v="2"/>
    <n v="31.04"/>
    <n v="1.1524000000000001"/>
    <d v="1899-12-30T12:17:20"/>
    <d v="1899-12-30T18:24:00"/>
    <n v="37.4"/>
    <n v="37.4"/>
    <s v="na"/>
    <m/>
    <s v="6:06:40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red"/>
    <x v="0"/>
    <n v="343"/>
    <n v="1"/>
    <n v="5"/>
    <n v="3"/>
    <n v="31.57"/>
    <n v="1.1508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red"/>
    <x v="0"/>
    <n v="343"/>
    <n v="1"/>
    <n v="5"/>
    <n v="1"/>
    <n v="35.47"/>
    <n v="1.5508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white"/>
    <x v="1"/>
    <n v="352"/>
    <n v="1"/>
    <n v="5"/>
    <n v="2"/>
    <n v="29.05"/>
    <n v="0.95620000000000005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white"/>
    <x v="1"/>
    <n v="352"/>
    <n v="1"/>
    <n v="5"/>
    <n v="1"/>
    <n v="33.25"/>
    <n v="1.2694000000000001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white"/>
    <x v="1"/>
    <n v="352"/>
    <n v="1"/>
    <n v="5"/>
    <n v="4"/>
    <n v="35.11"/>
    <n v="1.4966999999999999"/>
    <d v="1899-12-30T12:17:20"/>
    <d v="1899-12-30T18:48:00"/>
    <n v="37.4"/>
    <n v="37.4"/>
    <s v="na"/>
    <m/>
    <s v="6:30:40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white"/>
    <x v="1"/>
    <n v="352"/>
    <n v="1"/>
    <n v="5"/>
    <n v="3"/>
    <n v="35.130000000000003"/>
    <n v="1.6102000000000001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blue"/>
    <x v="2"/>
    <n v="259"/>
    <n v="1"/>
    <n v="5"/>
    <n v="4"/>
    <n v="28.06"/>
    <n v="0.82869999999999999"/>
    <d v="1899-12-30T12:17:20"/>
    <d v="1899-12-30T18:48:00"/>
    <n v="37.4"/>
    <n v="37.4"/>
    <s v="na"/>
    <m/>
    <s v="6:30:40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blue"/>
    <x v="2"/>
    <n v="259"/>
    <n v="1"/>
    <n v="5"/>
    <n v="2"/>
    <n v="29.59"/>
    <n v="0.9244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blue"/>
    <x v="2"/>
    <n v="259"/>
    <n v="1"/>
    <n v="5"/>
    <n v="1"/>
    <n v="29.43"/>
    <n v="0.93669999999999998"/>
    <d v="1899-12-30T12:17:20"/>
    <d v="1899-12-30T18:48:00"/>
    <n v="37.4"/>
    <n v="37.4"/>
    <s v="na"/>
    <m/>
    <s v="6:30:40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blue"/>
    <x v="2"/>
    <n v="259"/>
    <n v="1"/>
    <n v="5"/>
    <n v="3"/>
    <n v="29.77"/>
    <n v="0.95299999999999996"/>
    <d v="1899-12-30T12:17:20"/>
    <m/>
    <n v="37.4"/>
    <n v="37.4"/>
    <s v="na"/>
    <m/>
    <e v="#VALUE!"/>
    <s v="na"/>
    <s v="na"/>
    <s v="na"/>
    <n v="37.4"/>
  </r>
  <r>
    <n v="69"/>
    <s v="LCKM164"/>
    <s v="LCKM156"/>
    <x v="1"/>
    <s v="Cockermouth Island"/>
    <d v="2023-01-30T00:00:00"/>
    <d v="2023-06-01T00:00:00"/>
    <n v="122"/>
    <s v="blue"/>
    <x v="2"/>
    <n v="259"/>
    <n v="1"/>
    <n v="5"/>
    <n v="5"/>
    <n v="31.95"/>
    <n v="1.2339"/>
    <d v="1899-12-30T12:17:20"/>
    <d v="1899-12-30T18:51:00"/>
    <n v="37.4"/>
    <n v="37.4"/>
    <s v="na"/>
    <m/>
    <s v="6:33:40"/>
    <s v="na"/>
    <s v="na"/>
    <s v="na"/>
    <n v="37.4"/>
  </r>
  <r>
    <n v="89"/>
    <s v="LCKM159"/>
    <s v="LCKM155"/>
    <x v="1"/>
    <s v="Cockermouth Island"/>
    <d v="2023-02-10T00:00:00"/>
    <d v="2023-06-01T00:00:00"/>
    <n v="111"/>
    <s v="blue"/>
    <x v="2"/>
    <n v="328"/>
    <n v="2"/>
    <n v="3"/>
    <n v="4"/>
    <n v="33.619999999999997"/>
    <n v="1.3791"/>
    <d v="1899-12-30T12:17:20"/>
    <d v="1899-12-30T18:48:00"/>
    <n v="37.4"/>
    <n v="37.4"/>
    <s v="na"/>
    <m/>
    <s v="6:30:40"/>
    <s v="na"/>
    <s v="na"/>
    <s v="na"/>
    <n v="37.4"/>
  </r>
  <r>
    <n v="107"/>
    <s v="CPRE521"/>
    <s v="CPRE524"/>
    <x v="0"/>
    <s v="Pretty Patches"/>
    <d v="2023-03-05T00:00:00"/>
    <d v="2023-07-13T00:00:00"/>
    <n v="130"/>
    <s v="red"/>
    <x v="2"/>
    <n v="159"/>
    <n v="1"/>
    <n v="6"/>
    <n v="3"/>
    <n v="37.4"/>
    <n v="2.319"/>
    <d v="1899-12-30T11:50:15"/>
    <d v="1899-12-30T18:16:00"/>
    <m/>
    <n v="37.5"/>
    <n v="37.369999999999997"/>
    <n v="-0.13000000000000256"/>
    <s v="6:25:45"/>
    <n v="5.5E-2"/>
    <n v="37.314999999999998"/>
    <n v="-0.18500000000000227"/>
    <n v="37.407499999999999"/>
  </r>
  <r>
    <n v="90"/>
    <s v="CSAT265"/>
    <s v="CSAT264"/>
    <x v="0"/>
    <s v="Satellite Reef"/>
    <d v="2023-02-20T00:00:00"/>
    <d v="2023-07-06T00:00:00"/>
    <n v="136"/>
    <s v="blue"/>
    <x v="2"/>
    <n v="356"/>
    <n v="2"/>
    <n v="1"/>
    <n v="1"/>
    <n v="31.51"/>
    <n v="1.2211000000000001"/>
    <d v="1899-12-30T11:43:22"/>
    <d v="1899-12-30T18:13:00"/>
    <m/>
    <n v="37.450000000000003"/>
    <n v="37.590000000000003"/>
    <n v="0.14000000000000057"/>
    <s v="6:29:38"/>
    <n v="0.10299999999999999"/>
    <n v="37.487000000000002"/>
    <n v="3.6999999999999034E-2"/>
    <n v="37.468500000000006"/>
  </r>
  <r>
    <n v="56"/>
    <s v="CARL217"/>
    <s v="CARL226"/>
    <x v="0"/>
    <s v="Arlington Reef"/>
    <d v="2023-01-12T00:00:00"/>
    <d v="2023-06-01T00:00:00"/>
    <n v="140"/>
    <s v="blue"/>
    <x v="2"/>
    <n v="158"/>
    <n v="1"/>
    <n v="4"/>
    <n v="1"/>
    <n v="31.06"/>
    <n v="1.0102"/>
    <d v="1899-12-30T12:17:20"/>
    <d v="1899-12-30T18:52:00"/>
    <n v="37.5"/>
    <n v="37.5"/>
    <s v="na"/>
    <m/>
    <s v="6:34:40"/>
    <s v="na"/>
    <s v="na"/>
    <s v="na"/>
    <n v="37.5"/>
  </r>
  <r>
    <n v="56"/>
    <s v="CARL217"/>
    <s v="CARL226"/>
    <x v="0"/>
    <s v="Arlington Reef"/>
    <d v="2023-01-12T00:00:00"/>
    <d v="2023-06-01T00:00:00"/>
    <n v="140"/>
    <s v="blue"/>
    <x v="2"/>
    <n v="158"/>
    <n v="1"/>
    <n v="4"/>
    <n v="5"/>
    <n v="33.020000000000003"/>
    <n v="1.3661000000000001"/>
    <d v="1899-12-30T12:17:20"/>
    <d v="1899-12-30T18:57:00"/>
    <n v="37.5"/>
    <n v="37.5"/>
    <s v="na"/>
    <m/>
    <s v="6:39:40"/>
    <s v="na"/>
    <s v="na"/>
    <s v="na"/>
    <n v="37.5"/>
  </r>
  <r>
    <n v="56"/>
    <s v="CARL217"/>
    <s v="CARL226"/>
    <x v="0"/>
    <s v="Arlington Reef"/>
    <d v="2023-01-12T00:00:00"/>
    <d v="2023-06-01T00:00:00"/>
    <n v="140"/>
    <s v="blue"/>
    <x v="2"/>
    <n v="158"/>
    <n v="1"/>
    <n v="4"/>
    <n v="3"/>
    <n v="33.369999999999997"/>
    <n v="1.4272"/>
    <d v="1899-12-30T12:17:20"/>
    <d v="1899-12-30T19:01:00"/>
    <n v="37.5"/>
    <n v="37.5"/>
    <s v="na"/>
    <m/>
    <s v="6:43:40"/>
    <s v="na"/>
    <s v="na"/>
    <s v="na"/>
    <n v="37.5"/>
  </r>
  <r>
    <n v="56"/>
    <s v="CARL217"/>
    <s v="CARL226"/>
    <x v="0"/>
    <s v="Arlington Reef"/>
    <d v="2023-01-12T00:00:00"/>
    <d v="2023-06-01T00:00:00"/>
    <n v="140"/>
    <s v="blue"/>
    <x v="2"/>
    <n v="158"/>
    <n v="1"/>
    <n v="4"/>
    <n v="2"/>
    <n v="38.92"/>
    <n v="2.4285999999999999"/>
    <d v="1899-12-30T12:17:20"/>
    <m/>
    <n v="37.5"/>
    <n v="37.5"/>
    <s v="na"/>
    <m/>
    <e v="#VALUE!"/>
    <s v="na"/>
    <s v="na"/>
    <s v="na"/>
    <n v="37.5"/>
  </r>
  <r>
    <n v="56"/>
    <s v="CARL217"/>
    <s v="CARL226"/>
    <x v="0"/>
    <s v="Arlington Reef"/>
    <d v="2023-01-12T00:00:00"/>
    <d v="2023-06-01T00:00:00"/>
    <n v="140"/>
    <s v="na"/>
    <x v="2"/>
    <n v="158"/>
    <n v="1"/>
    <s v="na"/>
    <s v="na"/>
    <n v="34.69"/>
    <n v="1.5072000000000001"/>
    <d v="1899-12-30T12:17:20"/>
    <d v="1899-12-30T18:53:00"/>
    <s v="na"/>
    <s v="na"/>
    <s v="na"/>
    <s v="na"/>
    <s v="6:35:40"/>
    <s v="na"/>
    <s v="na"/>
    <s v="na"/>
    <n v="37.549999999999997"/>
  </r>
  <r>
    <n v="56"/>
    <s v="CARL217"/>
    <s v="CARL226"/>
    <x v="0"/>
    <s v="Arlington Reef"/>
    <d v="2023-01-12T00:00:00"/>
    <d v="2023-06-01T00:00:00"/>
    <n v="140"/>
    <s v="blue"/>
    <x v="2"/>
    <n v="158"/>
    <n v="1"/>
    <n v="4"/>
    <n v="4"/>
    <n v="35.9"/>
    <n v="1.8052999999999999"/>
    <d v="1899-12-30T12:17:20"/>
    <m/>
    <n v="37.6"/>
    <n v="37.6"/>
    <s v="na"/>
    <m/>
    <e v="#VALUE!"/>
    <s v="na"/>
    <s v="na"/>
    <s v="na"/>
    <n v="37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19249-58DB-46F8-8DDD-D808BBFCE3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D16" firstHeaderRow="1" firstDataRow="2" firstDataCol="1"/>
  <pivotFields count="21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tdDev of LOE_mean_JMD" fld="17" subtotal="stdDev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0A163-870F-4415-BC64-2DA4597B4F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8" firstHeaderRow="1" firstDataRow="2" firstDataCol="1"/>
  <pivotFields count="21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Average of LOE_mean_JMD" fld="17" subtotal="average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44F07-E099-41C7-8B82-403B204B42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D24" firstHeaderRow="1" firstDataRow="2" firstDataCol="1"/>
  <pivotFields count="21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LOE_mean_JMD" fld="17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86567-E72A-45E3-8C37-55935B5E35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D16" firstHeaderRow="1" firstDataRow="2" firstDataCol="1"/>
  <pivotFields count="21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tdDev of LOE_mean_JMD" fld="17" subtotal="stdDev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6A5D4-05AC-482C-8858-C2A5C170BB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9:D24" firstHeaderRow="1" firstDataRow="2" firstDataCol="1"/>
  <pivotFields count="21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LOE_mean_JMD" fld="17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EA2ED-6513-49BD-B203-0993565F2CE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H9" firstHeaderRow="1" firstDataRow="2" firstDataCol="1"/>
  <pivotFields count="21"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h="1" x="2"/>
        <item t="default"/>
      </items>
    </pivotField>
    <pivotField axis="axisCol" compact="0" outline="0" showAll="0">
      <items count="7">
        <item x="4"/>
        <item x="1"/>
        <item x="0"/>
        <item x="2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LOE_TEMP_SENSOR" fld="18" subtotal="average" baseField="0" baseItem="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F4C63-1170-4A51-AC13-D70CC598F13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27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2" showAll="0"/>
    <pivotField numFmtId="164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7" showAll="0"/>
  </pivotFields>
  <rowFields count="1">
    <field x="3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Average of LOE_MEAN_EAS" fld="26" subtotal="average" baseField="3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369A-B7E8-4167-B47F-C9D47D98D472}">
  <dimension ref="A1:AE613"/>
  <sheetViews>
    <sheetView tabSelected="1" topLeftCell="K1" zoomScale="90" zoomScaleNormal="90" workbookViewId="0">
      <pane ySplit="1" topLeftCell="A8" activePane="bottomLeft" state="frozen"/>
      <selection pane="bottomLeft" activeCell="R50" sqref="R50"/>
    </sheetView>
  </sheetViews>
  <sheetFormatPr defaultRowHeight="15" customHeight="1" x14ac:dyDescent="0.25"/>
  <cols>
    <col min="1" max="1" width="16.5703125" customWidth="1"/>
    <col min="2" max="2" width="12.28515625" customWidth="1"/>
    <col min="3" max="3" width="11.85546875" customWidth="1"/>
    <col min="5" max="5" width="28.42578125" customWidth="1"/>
    <col min="6" max="6" width="15.5703125" customWidth="1"/>
    <col min="7" max="7" width="16" customWidth="1"/>
    <col min="8" max="8" width="10.28515625" customWidth="1"/>
    <col min="9" max="9" width="9.5703125" customWidth="1"/>
    <col min="10" max="10" width="9.85546875" customWidth="1"/>
    <col min="13" max="13" width="10.28515625" customWidth="1"/>
    <col min="14" max="14" width="10.5703125" customWidth="1"/>
    <col min="15" max="15" width="8.7109375" style="2"/>
    <col min="16" max="16" width="10.85546875" style="3" bestFit="1" customWidth="1"/>
    <col min="17" max="17" width="22.85546875" style="4" customWidth="1"/>
    <col min="18" max="18" width="13.140625" style="4" customWidth="1"/>
    <col min="19" max="19" width="26.140625" customWidth="1"/>
    <col min="20" max="20" width="18.5703125" style="5" customWidth="1"/>
    <col min="21" max="21" width="18.5703125" style="10" customWidth="1"/>
    <col min="22" max="23" width="18" customWidth="1"/>
    <col min="24" max="24" width="18" style="10" customWidth="1"/>
    <col min="25" max="25" width="27.42578125" style="10" customWidth="1"/>
    <col min="26" max="27" width="26.5703125" style="10" customWidth="1"/>
    <col min="28" max="28" width="16.5703125" customWidth="1"/>
  </cols>
  <sheetData>
    <row r="1" spans="1:29" x14ac:dyDescent="0.25">
      <c r="A1" t="s">
        <v>16</v>
      </c>
      <c r="B1" t="s">
        <v>17</v>
      </c>
      <c r="C1" t="s">
        <v>18</v>
      </c>
      <c r="D1" t="s">
        <v>11</v>
      </c>
      <c r="E1" t="s">
        <v>1</v>
      </c>
      <c r="F1" t="s">
        <v>19</v>
      </c>
      <c r="G1" t="s">
        <v>20</v>
      </c>
      <c r="H1" t="s">
        <v>21</v>
      </c>
      <c r="I1" t="s">
        <v>22</v>
      </c>
      <c r="J1" t="s">
        <v>2</v>
      </c>
      <c r="K1" t="s">
        <v>23</v>
      </c>
      <c r="L1" t="s">
        <v>24</v>
      </c>
      <c r="M1" t="s">
        <v>25</v>
      </c>
      <c r="N1" t="s">
        <v>26</v>
      </c>
      <c r="O1" s="2" t="s">
        <v>27</v>
      </c>
      <c r="P1" s="3" t="s">
        <v>28</v>
      </c>
      <c r="Q1" s="4" t="s">
        <v>52</v>
      </c>
      <c r="R1" s="4" t="s">
        <v>29</v>
      </c>
      <c r="S1" t="s">
        <v>30</v>
      </c>
      <c r="T1" s="13" t="s">
        <v>31</v>
      </c>
      <c r="U1" s="10" t="s">
        <v>32</v>
      </c>
      <c r="V1" t="s">
        <v>33</v>
      </c>
      <c r="W1" t="s">
        <v>53</v>
      </c>
      <c r="X1" s="10" t="s">
        <v>70</v>
      </c>
      <c r="Y1" s="12" t="s">
        <v>88</v>
      </c>
      <c r="Z1" s="10" t="s">
        <v>95</v>
      </c>
      <c r="AA1" s="10" t="s">
        <v>89</v>
      </c>
      <c r="AB1" t="s">
        <v>51</v>
      </c>
      <c r="AC1" t="s">
        <v>87</v>
      </c>
    </row>
    <row r="2" spans="1:29" x14ac:dyDescent="0.25">
      <c r="A2">
        <v>56</v>
      </c>
      <c r="B2" t="s">
        <v>49</v>
      </c>
      <c r="C2" t="s">
        <v>50</v>
      </c>
      <c r="D2" t="s">
        <v>12</v>
      </c>
      <c r="E2" t="s">
        <v>3</v>
      </c>
      <c r="F2" s="1">
        <v>44938</v>
      </c>
      <c r="G2" s="1">
        <v>45078</v>
      </c>
      <c r="H2">
        <f t="shared" ref="H2:H65" si="0">G2-F2</f>
        <v>140</v>
      </c>
      <c r="J2">
        <v>28.5</v>
      </c>
      <c r="K2">
        <v>137</v>
      </c>
      <c r="L2">
        <v>2</v>
      </c>
      <c r="O2" s="2">
        <v>34.33</v>
      </c>
      <c r="P2" s="3">
        <v>1.3285</v>
      </c>
      <c r="Q2" s="4">
        <v>0.51203703703703696</v>
      </c>
      <c r="S2" s="2"/>
      <c r="T2" s="13"/>
      <c r="V2" s="10"/>
      <c r="W2" s="2" t="e">
        <f t="shared" ref="W2:W33" si="1">TEXT(R2-Q2,"h:mm:ss")</f>
        <v>#VALUE!</v>
      </c>
      <c r="Y2" s="12"/>
      <c r="AA2" s="10">
        <v>34.9</v>
      </c>
      <c r="AB2" s="10" t="s">
        <v>91</v>
      </c>
    </row>
    <row r="3" spans="1:29" x14ac:dyDescent="0.25">
      <c r="A3">
        <v>99</v>
      </c>
      <c r="B3" t="s">
        <v>57</v>
      </c>
      <c r="C3" t="s">
        <v>58</v>
      </c>
      <c r="D3" t="s">
        <v>12</v>
      </c>
      <c r="E3" t="s">
        <v>3</v>
      </c>
      <c r="F3" s="1">
        <v>44980</v>
      </c>
      <c r="G3" s="1">
        <v>45117</v>
      </c>
      <c r="H3">
        <f t="shared" si="0"/>
        <v>137</v>
      </c>
      <c r="J3">
        <v>30</v>
      </c>
      <c r="K3">
        <v>234</v>
      </c>
      <c r="L3">
        <v>1</v>
      </c>
      <c r="O3" s="2">
        <v>35.020000000000003</v>
      </c>
      <c r="P3" s="3">
        <v>1.7088000000000001</v>
      </c>
      <c r="Q3" s="4">
        <v>0.55208333333333304</v>
      </c>
      <c r="R3" s="4">
        <v>0.79722222222222217</v>
      </c>
      <c r="S3" s="2"/>
      <c r="T3" s="13"/>
      <c r="V3" s="10"/>
      <c r="W3" s="2" t="str">
        <f t="shared" si="1"/>
        <v>5:53:00</v>
      </c>
      <c r="Y3" s="12"/>
      <c r="AA3" s="10">
        <v>36.590000000000003</v>
      </c>
      <c r="AB3" s="10" t="s">
        <v>91</v>
      </c>
    </row>
    <row r="4" spans="1:29" x14ac:dyDescent="0.25">
      <c r="A4">
        <v>99</v>
      </c>
      <c r="B4" t="s">
        <v>57</v>
      </c>
      <c r="C4" t="s">
        <v>58</v>
      </c>
      <c r="D4" t="s">
        <v>12</v>
      </c>
      <c r="E4" t="s">
        <v>3</v>
      </c>
      <c r="F4" s="1">
        <v>44980</v>
      </c>
      <c r="G4" s="1">
        <v>45112</v>
      </c>
      <c r="H4">
        <f t="shared" si="0"/>
        <v>132</v>
      </c>
      <c r="J4">
        <v>28.5</v>
      </c>
      <c r="K4">
        <v>342</v>
      </c>
      <c r="L4">
        <v>2</v>
      </c>
      <c r="O4" s="2">
        <v>30.24</v>
      </c>
      <c r="P4" s="3">
        <v>0.98939999999999995</v>
      </c>
      <c r="Q4" s="4">
        <v>0.54166666666666696</v>
      </c>
      <c r="R4" s="4">
        <v>0.77986111111111101</v>
      </c>
      <c r="S4" s="2"/>
      <c r="T4" s="13"/>
      <c r="V4" s="10"/>
      <c r="W4" s="2" t="str">
        <f t="shared" si="1"/>
        <v>5:43:00</v>
      </c>
      <c r="Y4" s="12"/>
      <c r="AA4" s="10">
        <v>36.65</v>
      </c>
      <c r="AB4" s="10" t="s">
        <v>91</v>
      </c>
    </row>
    <row r="5" spans="1:29" x14ac:dyDescent="0.25">
      <c r="A5">
        <v>96</v>
      </c>
      <c r="B5" t="s">
        <v>64</v>
      </c>
      <c r="C5" t="s">
        <v>65</v>
      </c>
      <c r="D5" t="s">
        <v>12</v>
      </c>
      <c r="E5" t="s">
        <v>3</v>
      </c>
      <c r="F5" s="1">
        <v>44980</v>
      </c>
      <c r="G5" s="1">
        <v>45119</v>
      </c>
      <c r="H5">
        <f t="shared" si="0"/>
        <v>139</v>
      </c>
      <c r="I5" t="s">
        <v>38</v>
      </c>
      <c r="J5">
        <v>28.5</v>
      </c>
      <c r="K5">
        <v>238</v>
      </c>
      <c r="L5">
        <v>2</v>
      </c>
      <c r="M5">
        <v>6</v>
      </c>
      <c r="N5">
        <v>5</v>
      </c>
      <c r="O5" s="2">
        <v>32.29</v>
      </c>
      <c r="P5" s="3">
        <v>1.3224</v>
      </c>
      <c r="Q5" s="4">
        <v>0.50962962962962999</v>
      </c>
      <c r="R5" s="4">
        <v>0.75277777777777777</v>
      </c>
      <c r="T5" s="13">
        <v>36.65</v>
      </c>
      <c r="U5" s="10">
        <v>36.715000000000003</v>
      </c>
      <c r="V5" s="2">
        <f>U5-T5</f>
        <v>6.5000000000004832E-2</v>
      </c>
      <c r="W5" s="2" t="str">
        <f t="shared" si="1"/>
        <v>5:50:08</v>
      </c>
      <c r="X5" s="10">
        <v>0.01</v>
      </c>
      <c r="Y5" s="12">
        <f>U5-X5</f>
        <v>36.705000000000005</v>
      </c>
      <c r="Z5" s="10">
        <f>Y5-T5</f>
        <v>5.5000000000006821E-2</v>
      </c>
      <c r="AA5" s="10">
        <f>AVERAGE(Y5,T5)</f>
        <v>36.677500000000002</v>
      </c>
      <c r="AB5" s="10" t="s">
        <v>90</v>
      </c>
    </row>
    <row r="6" spans="1:29" x14ac:dyDescent="0.25">
      <c r="A6">
        <v>96</v>
      </c>
      <c r="B6" t="s">
        <v>64</v>
      </c>
      <c r="C6" t="s">
        <v>65</v>
      </c>
      <c r="D6" t="s">
        <v>12</v>
      </c>
      <c r="E6" t="s">
        <v>3</v>
      </c>
      <c r="F6" s="1">
        <v>44980</v>
      </c>
      <c r="G6" s="1">
        <v>45113</v>
      </c>
      <c r="H6">
        <f t="shared" si="0"/>
        <v>133</v>
      </c>
      <c r="I6" t="s">
        <v>37</v>
      </c>
      <c r="J6">
        <v>28.5</v>
      </c>
      <c r="K6">
        <v>345</v>
      </c>
      <c r="L6">
        <v>1</v>
      </c>
      <c r="M6">
        <v>6</v>
      </c>
      <c r="N6">
        <v>1</v>
      </c>
      <c r="O6" s="2">
        <v>32.590000000000003</v>
      </c>
      <c r="P6" s="3">
        <v>1.3328</v>
      </c>
      <c r="Q6" s="4">
        <v>0.48844907407407401</v>
      </c>
      <c r="R6" s="4">
        <v>0.72569444444444453</v>
      </c>
      <c r="T6" s="13">
        <v>36.700000000000003</v>
      </c>
      <c r="U6" s="10">
        <v>36.661000000000001</v>
      </c>
      <c r="V6" s="2">
        <f>U6-T6</f>
        <v>-3.9000000000001478E-2</v>
      </c>
      <c r="W6" s="2" t="str">
        <f t="shared" si="1"/>
        <v>5:41:38</v>
      </c>
      <c r="X6" s="10">
        <v>7.6999999999999996E-4</v>
      </c>
      <c r="Y6" s="12">
        <f>U6-X6</f>
        <v>36.660229999999999</v>
      </c>
      <c r="Z6" s="10">
        <f>Y6-T6</f>
        <v>-3.9770000000004302E-2</v>
      </c>
      <c r="AA6" s="10">
        <f>AVERAGE(Y6,T6)</f>
        <v>36.680115000000001</v>
      </c>
      <c r="AB6" s="10" t="s">
        <v>90</v>
      </c>
    </row>
    <row r="7" spans="1:29" x14ac:dyDescent="0.25">
      <c r="A7">
        <v>96</v>
      </c>
      <c r="B7" t="s">
        <v>64</v>
      </c>
      <c r="C7" t="s">
        <v>65</v>
      </c>
      <c r="D7" t="s">
        <v>12</v>
      </c>
      <c r="E7" t="s">
        <v>3</v>
      </c>
      <c r="F7" s="1">
        <v>44980</v>
      </c>
      <c r="G7" s="1">
        <v>45114</v>
      </c>
      <c r="H7">
        <f t="shared" si="0"/>
        <v>134</v>
      </c>
      <c r="J7">
        <v>28.5</v>
      </c>
      <c r="K7">
        <v>238</v>
      </c>
      <c r="L7">
        <v>2</v>
      </c>
      <c r="O7" s="2">
        <v>35.56</v>
      </c>
      <c r="P7" s="3">
        <v>1.7490000000000001</v>
      </c>
      <c r="Q7" s="4">
        <v>0.547372685185185</v>
      </c>
      <c r="R7" s="4">
        <v>0.78541666666666676</v>
      </c>
      <c r="S7" s="2"/>
      <c r="T7" s="13"/>
      <c r="V7" s="10"/>
      <c r="W7" s="2" t="str">
        <f t="shared" si="1"/>
        <v>5:42:47</v>
      </c>
      <c r="Y7" s="12"/>
      <c r="AA7" s="10">
        <v>36.69</v>
      </c>
      <c r="AB7" s="10" t="s">
        <v>91</v>
      </c>
    </row>
    <row r="8" spans="1:29" x14ac:dyDescent="0.25">
      <c r="A8">
        <v>108</v>
      </c>
      <c r="B8" t="s">
        <v>62</v>
      </c>
      <c r="C8" t="s">
        <v>63</v>
      </c>
      <c r="D8" t="s">
        <v>12</v>
      </c>
      <c r="E8" t="s">
        <v>3</v>
      </c>
      <c r="F8" s="1">
        <v>44990</v>
      </c>
      <c r="G8" s="1">
        <v>45113</v>
      </c>
      <c r="H8">
        <f t="shared" si="0"/>
        <v>123</v>
      </c>
      <c r="I8" t="s">
        <v>37</v>
      </c>
      <c r="J8">
        <v>28.5</v>
      </c>
      <c r="K8">
        <v>344</v>
      </c>
      <c r="L8">
        <v>2</v>
      </c>
      <c r="M8">
        <v>4</v>
      </c>
      <c r="N8">
        <v>2</v>
      </c>
      <c r="O8" s="2">
        <v>23.17</v>
      </c>
      <c r="P8" s="3">
        <v>0.46150000000000002</v>
      </c>
      <c r="Q8" s="4">
        <v>0.48844907407407401</v>
      </c>
      <c r="R8" s="4">
        <v>0.72499999999999998</v>
      </c>
      <c r="T8" s="13">
        <v>36.700000000000003</v>
      </c>
      <c r="U8" s="10">
        <v>36.661000000000001</v>
      </c>
      <c r="V8" s="2">
        <f t="shared" ref="V8:V15" si="2">U8-T8</f>
        <v>-3.9000000000001478E-2</v>
      </c>
      <c r="W8" s="2" t="str">
        <f t="shared" si="1"/>
        <v>5:40:38</v>
      </c>
      <c r="X8" s="10">
        <v>-2.92E-2</v>
      </c>
      <c r="Y8" s="12">
        <f t="shared" ref="Y8:Y15" si="3">U8-X8</f>
        <v>36.690200000000004</v>
      </c>
      <c r="Z8" s="10">
        <f t="shared" ref="Z8:Z15" si="4">Y8-T8</f>
        <v>-9.7999999999984766E-3</v>
      </c>
      <c r="AA8" s="10">
        <f t="shared" ref="AA8:AA15" si="5">AVERAGE(Y8,T8)</f>
        <v>36.695100000000004</v>
      </c>
      <c r="AB8" s="10" t="s">
        <v>90</v>
      </c>
      <c r="AC8" t="s">
        <v>71</v>
      </c>
    </row>
    <row r="9" spans="1:29" x14ac:dyDescent="0.25">
      <c r="A9">
        <v>96</v>
      </c>
      <c r="B9" t="s">
        <v>64</v>
      </c>
      <c r="C9" t="s">
        <v>65</v>
      </c>
      <c r="D9" t="s">
        <v>12</v>
      </c>
      <c r="E9" t="s">
        <v>3</v>
      </c>
      <c r="F9" s="1">
        <v>44980</v>
      </c>
      <c r="G9" s="1">
        <v>45113</v>
      </c>
      <c r="H9">
        <f t="shared" si="0"/>
        <v>133</v>
      </c>
      <c r="I9" t="s">
        <v>38</v>
      </c>
      <c r="J9">
        <v>30</v>
      </c>
      <c r="K9">
        <v>250</v>
      </c>
      <c r="L9">
        <v>1</v>
      </c>
      <c r="M9">
        <v>6</v>
      </c>
      <c r="N9">
        <v>1</v>
      </c>
      <c r="O9" s="2">
        <v>22.21</v>
      </c>
      <c r="P9" s="3">
        <v>0.43120000000000003</v>
      </c>
      <c r="Q9" s="4">
        <v>0.48844907407407401</v>
      </c>
      <c r="R9" s="4">
        <v>0.72777777777777775</v>
      </c>
      <c r="T9" s="13">
        <v>36.700000000000003</v>
      </c>
      <c r="U9" s="10">
        <v>36.741999999999997</v>
      </c>
      <c r="V9" s="2">
        <f t="shared" si="2"/>
        <v>4.1999999999994486E-2</v>
      </c>
      <c r="W9" s="2" t="str">
        <f t="shared" si="1"/>
        <v>5:44:38</v>
      </c>
      <c r="X9" s="10">
        <v>7.6999999999999996E-4</v>
      </c>
      <c r="Y9" s="12">
        <f t="shared" si="3"/>
        <v>36.741229999999995</v>
      </c>
      <c r="Z9" s="10">
        <f t="shared" si="4"/>
        <v>4.1229999999991662E-2</v>
      </c>
      <c r="AA9" s="10">
        <f t="shared" si="5"/>
        <v>36.720614999999995</v>
      </c>
      <c r="AB9" s="10" t="s">
        <v>90</v>
      </c>
    </row>
    <row r="10" spans="1:29" x14ac:dyDescent="0.25">
      <c r="A10">
        <v>96</v>
      </c>
      <c r="B10" t="s">
        <v>64</v>
      </c>
      <c r="C10" t="s">
        <v>65</v>
      </c>
      <c r="D10" t="s">
        <v>12</v>
      </c>
      <c r="E10" t="s">
        <v>3</v>
      </c>
      <c r="F10" s="1">
        <v>44980</v>
      </c>
      <c r="G10" s="1">
        <v>45113</v>
      </c>
      <c r="H10">
        <f t="shared" si="0"/>
        <v>133</v>
      </c>
      <c r="I10" t="s">
        <v>38</v>
      </c>
      <c r="J10">
        <v>30</v>
      </c>
      <c r="K10">
        <v>250</v>
      </c>
      <c r="L10">
        <v>1</v>
      </c>
      <c r="M10">
        <v>6</v>
      </c>
      <c r="N10">
        <v>3</v>
      </c>
      <c r="O10" s="2">
        <v>30.95</v>
      </c>
      <c r="P10" s="3">
        <v>1.1995</v>
      </c>
      <c r="Q10" s="4">
        <v>0.48844907407407401</v>
      </c>
      <c r="R10" s="4">
        <v>0.72777777777777775</v>
      </c>
      <c r="T10" s="13">
        <v>36.700000000000003</v>
      </c>
      <c r="U10" s="10">
        <v>36.741999999999997</v>
      </c>
      <c r="V10" s="2">
        <f t="shared" si="2"/>
        <v>4.1999999999994486E-2</v>
      </c>
      <c r="W10" s="2" t="str">
        <f t="shared" si="1"/>
        <v>5:44:38</v>
      </c>
      <c r="X10" s="10">
        <v>7.6999999999999996E-4</v>
      </c>
      <c r="Y10" s="12">
        <f t="shared" si="3"/>
        <v>36.741229999999995</v>
      </c>
      <c r="Z10" s="10">
        <f t="shared" si="4"/>
        <v>4.1229999999991662E-2</v>
      </c>
      <c r="AA10" s="10">
        <f t="shared" si="5"/>
        <v>36.720614999999995</v>
      </c>
      <c r="AB10" s="10" t="s">
        <v>90</v>
      </c>
    </row>
    <row r="11" spans="1:29" x14ac:dyDescent="0.25">
      <c r="A11">
        <v>108</v>
      </c>
      <c r="B11" t="s">
        <v>62</v>
      </c>
      <c r="C11" t="s">
        <v>63</v>
      </c>
      <c r="D11" t="s">
        <v>12</v>
      </c>
      <c r="E11" t="s">
        <v>3</v>
      </c>
      <c r="F11" s="1">
        <v>44990</v>
      </c>
      <c r="G11" s="1">
        <v>45113</v>
      </c>
      <c r="H11">
        <f t="shared" si="0"/>
        <v>123</v>
      </c>
      <c r="I11" t="s">
        <v>37</v>
      </c>
      <c r="J11">
        <v>28.5</v>
      </c>
      <c r="K11">
        <v>344</v>
      </c>
      <c r="L11">
        <v>2</v>
      </c>
      <c r="M11">
        <v>4</v>
      </c>
      <c r="N11">
        <v>1</v>
      </c>
      <c r="O11" s="2">
        <v>30.35</v>
      </c>
      <c r="P11" s="3">
        <v>1.113</v>
      </c>
      <c r="Q11" s="4">
        <v>0.48844907407407401</v>
      </c>
      <c r="R11" s="4">
        <v>0.7270833333333333</v>
      </c>
      <c r="T11" s="13">
        <v>36.700000000000003</v>
      </c>
      <c r="U11" s="10">
        <v>36.715000000000003</v>
      </c>
      <c r="V11" s="2">
        <f t="shared" si="2"/>
        <v>1.5000000000000568E-2</v>
      </c>
      <c r="W11" s="2" t="str">
        <f t="shared" si="1"/>
        <v>5:43:38</v>
      </c>
      <c r="X11" s="10">
        <v>-2.92E-2</v>
      </c>
      <c r="Y11" s="12">
        <f t="shared" si="3"/>
        <v>36.744200000000006</v>
      </c>
      <c r="Z11" s="10">
        <f t="shared" si="4"/>
        <v>4.420000000000357E-2</v>
      </c>
      <c r="AA11" s="10">
        <f t="shared" si="5"/>
        <v>36.722100000000005</v>
      </c>
      <c r="AB11" s="10" t="s">
        <v>90</v>
      </c>
      <c r="AC11" t="s">
        <v>71</v>
      </c>
    </row>
    <row r="12" spans="1:29" x14ac:dyDescent="0.25">
      <c r="A12">
        <v>99</v>
      </c>
      <c r="B12" t="s">
        <v>57</v>
      </c>
      <c r="C12" t="s">
        <v>58</v>
      </c>
      <c r="D12" t="s">
        <v>12</v>
      </c>
      <c r="E12" t="s">
        <v>3</v>
      </c>
      <c r="F12" s="1">
        <v>44980</v>
      </c>
      <c r="G12" s="1">
        <v>45113</v>
      </c>
      <c r="H12">
        <f t="shared" si="0"/>
        <v>133</v>
      </c>
      <c r="I12" t="s">
        <v>37</v>
      </c>
      <c r="J12">
        <v>28.5</v>
      </c>
      <c r="K12">
        <v>342</v>
      </c>
      <c r="L12">
        <v>1</v>
      </c>
      <c r="M12">
        <v>2</v>
      </c>
      <c r="N12">
        <v>1</v>
      </c>
      <c r="O12" s="2">
        <v>30.54</v>
      </c>
      <c r="P12" s="3">
        <v>1.2307999999999999</v>
      </c>
      <c r="Q12" s="4">
        <v>0.48844907407407401</v>
      </c>
      <c r="R12" s="4">
        <v>0.72569444444444453</v>
      </c>
      <c r="T12" s="13">
        <v>36.700000000000003</v>
      </c>
      <c r="U12" s="10">
        <v>36.823999999999998</v>
      </c>
      <c r="V12" s="2">
        <f t="shared" si="2"/>
        <v>0.12399999999999523</v>
      </c>
      <c r="W12" s="2" t="str">
        <f t="shared" si="1"/>
        <v>5:41:38</v>
      </c>
      <c r="X12" s="10">
        <v>7.6700000000000004E-2</v>
      </c>
      <c r="Y12" s="12">
        <f t="shared" si="3"/>
        <v>36.747299999999996</v>
      </c>
      <c r="Z12" s="10">
        <f t="shared" si="4"/>
        <v>4.7299999999992792E-2</v>
      </c>
      <c r="AA12" s="10">
        <f t="shared" si="5"/>
        <v>36.723649999999999</v>
      </c>
      <c r="AB12" s="10" t="s">
        <v>90</v>
      </c>
    </row>
    <row r="13" spans="1:29" x14ac:dyDescent="0.25">
      <c r="A13">
        <v>99</v>
      </c>
      <c r="B13" t="s">
        <v>57</v>
      </c>
      <c r="C13" t="s">
        <v>58</v>
      </c>
      <c r="D13" t="s">
        <v>12</v>
      </c>
      <c r="E13" t="s">
        <v>3</v>
      </c>
      <c r="F13" s="1">
        <v>44980</v>
      </c>
      <c r="G13" s="1">
        <v>45113</v>
      </c>
      <c r="H13">
        <f t="shared" si="0"/>
        <v>133</v>
      </c>
      <c r="I13" t="s">
        <v>37</v>
      </c>
      <c r="J13">
        <v>28.5</v>
      </c>
      <c r="K13">
        <v>342</v>
      </c>
      <c r="L13">
        <v>1</v>
      </c>
      <c r="M13">
        <v>2</v>
      </c>
      <c r="N13">
        <v>4</v>
      </c>
      <c r="O13" s="2">
        <v>35.58</v>
      </c>
      <c r="P13" s="3">
        <v>1.8944000000000001</v>
      </c>
      <c r="Q13" s="4">
        <v>0.48844907407407401</v>
      </c>
      <c r="R13" s="4">
        <v>0.72569444444444453</v>
      </c>
      <c r="T13" s="13">
        <v>36.700000000000003</v>
      </c>
      <c r="U13" s="10">
        <v>36.823999999999998</v>
      </c>
      <c r="V13" s="2">
        <f t="shared" si="2"/>
        <v>0.12399999999999523</v>
      </c>
      <c r="W13" s="2" t="str">
        <f t="shared" si="1"/>
        <v>5:41:38</v>
      </c>
      <c r="X13" s="10">
        <v>7.6700000000000004E-2</v>
      </c>
      <c r="Y13" s="12">
        <f t="shared" si="3"/>
        <v>36.747299999999996</v>
      </c>
      <c r="Z13" s="10">
        <f t="shared" si="4"/>
        <v>4.7299999999992792E-2</v>
      </c>
      <c r="AA13" s="10">
        <f t="shared" si="5"/>
        <v>36.723649999999999</v>
      </c>
      <c r="AB13" s="10" t="s">
        <v>90</v>
      </c>
    </row>
    <row r="14" spans="1:29" x14ac:dyDescent="0.25">
      <c r="A14">
        <v>99</v>
      </c>
      <c r="B14" t="s">
        <v>57</v>
      </c>
      <c r="C14" t="s">
        <v>58</v>
      </c>
      <c r="D14" t="s">
        <v>12</v>
      </c>
      <c r="E14" t="s">
        <v>3</v>
      </c>
      <c r="F14" s="1">
        <v>44980</v>
      </c>
      <c r="G14" s="1">
        <v>45113</v>
      </c>
      <c r="H14">
        <f t="shared" si="0"/>
        <v>133</v>
      </c>
      <c r="I14" t="s">
        <v>37</v>
      </c>
      <c r="J14">
        <v>28.5</v>
      </c>
      <c r="K14">
        <v>342</v>
      </c>
      <c r="L14">
        <v>1</v>
      </c>
      <c r="M14">
        <v>2</v>
      </c>
      <c r="N14">
        <v>3</v>
      </c>
      <c r="O14" s="2">
        <v>31.76</v>
      </c>
      <c r="P14" s="3">
        <v>1.2834000000000001</v>
      </c>
      <c r="Q14" s="4">
        <v>0.48844907407407401</v>
      </c>
      <c r="R14" s="4">
        <v>0.7270833333333333</v>
      </c>
      <c r="T14" s="13">
        <v>36.700000000000003</v>
      </c>
      <c r="U14" s="10">
        <v>36.850999999999999</v>
      </c>
      <c r="V14" s="8">
        <f t="shared" si="2"/>
        <v>0.15099999999999625</v>
      </c>
      <c r="W14" s="2" t="str">
        <f t="shared" si="1"/>
        <v>5:43:38</v>
      </c>
      <c r="X14" s="10">
        <v>7.6700000000000004E-2</v>
      </c>
      <c r="Y14" s="12">
        <f t="shared" si="3"/>
        <v>36.774299999999997</v>
      </c>
      <c r="Z14" s="10">
        <f t="shared" si="4"/>
        <v>7.4299999999993815E-2</v>
      </c>
      <c r="AA14" s="10">
        <f t="shared" si="5"/>
        <v>36.73715</v>
      </c>
      <c r="AB14" s="10" t="s">
        <v>90</v>
      </c>
    </row>
    <row r="15" spans="1:29" x14ac:dyDescent="0.25">
      <c r="A15">
        <v>99</v>
      </c>
      <c r="B15" t="s">
        <v>57</v>
      </c>
      <c r="C15" t="s">
        <v>58</v>
      </c>
      <c r="D15" t="s">
        <v>12</v>
      </c>
      <c r="E15" t="s">
        <v>3</v>
      </c>
      <c r="F15" s="1">
        <v>44980</v>
      </c>
      <c r="G15" s="1">
        <v>45113</v>
      </c>
      <c r="H15">
        <f t="shared" si="0"/>
        <v>133</v>
      </c>
      <c r="I15" t="s">
        <v>37</v>
      </c>
      <c r="J15">
        <v>28.5</v>
      </c>
      <c r="K15">
        <v>342</v>
      </c>
      <c r="L15">
        <v>1</v>
      </c>
      <c r="M15">
        <v>2</v>
      </c>
      <c r="N15">
        <v>5</v>
      </c>
      <c r="O15" s="2">
        <v>31.95</v>
      </c>
      <c r="P15" s="3">
        <v>1.2918000000000001</v>
      </c>
      <c r="Q15" s="4">
        <v>0.48844907407407401</v>
      </c>
      <c r="R15" s="4">
        <v>0.7270833333333333</v>
      </c>
      <c r="T15" s="13">
        <v>36.700000000000003</v>
      </c>
      <c r="U15" s="10">
        <v>36.850999999999999</v>
      </c>
      <c r="V15" s="8">
        <f t="shared" si="2"/>
        <v>0.15099999999999625</v>
      </c>
      <c r="W15" s="2" t="str">
        <f t="shared" si="1"/>
        <v>5:43:38</v>
      </c>
      <c r="X15" s="10">
        <v>7.6700000000000004E-2</v>
      </c>
      <c r="Y15" s="12">
        <f t="shared" si="3"/>
        <v>36.774299999999997</v>
      </c>
      <c r="Z15" s="10">
        <f t="shared" si="4"/>
        <v>7.4299999999993815E-2</v>
      </c>
      <c r="AA15" s="10">
        <f t="shared" si="5"/>
        <v>36.73715</v>
      </c>
      <c r="AB15" s="10" t="s">
        <v>90</v>
      </c>
    </row>
    <row r="16" spans="1:29" x14ac:dyDescent="0.25">
      <c r="A16">
        <v>96</v>
      </c>
      <c r="B16" t="s">
        <v>64</v>
      </c>
      <c r="C16" t="s">
        <v>65</v>
      </c>
      <c r="D16" t="s">
        <v>12</v>
      </c>
      <c r="E16" t="s">
        <v>3</v>
      </c>
      <c r="F16" s="1">
        <v>44980</v>
      </c>
      <c r="G16" s="1">
        <v>45114</v>
      </c>
      <c r="H16">
        <f t="shared" si="0"/>
        <v>134</v>
      </c>
      <c r="J16">
        <v>28.5</v>
      </c>
      <c r="K16">
        <v>238</v>
      </c>
      <c r="L16">
        <v>2</v>
      </c>
      <c r="O16" s="2">
        <v>33.700000000000003</v>
      </c>
      <c r="P16" s="3">
        <v>1.4823999999999999</v>
      </c>
      <c r="Q16" s="4">
        <v>0.54737268518518511</v>
      </c>
      <c r="R16" s="4">
        <v>0.78888888888888886</v>
      </c>
      <c r="S16" s="2"/>
      <c r="T16" s="13"/>
      <c r="V16" s="10"/>
      <c r="W16" s="2" t="str">
        <f t="shared" si="1"/>
        <v>5:47:47</v>
      </c>
      <c r="Y16" s="12"/>
      <c r="AA16" s="10">
        <v>36.770000000000003</v>
      </c>
      <c r="AB16" s="10" t="s">
        <v>91</v>
      </c>
    </row>
    <row r="17" spans="1:29" x14ac:dyDescent="0.25">
      <c r="A17">
        <v>96</v>
      </c>
      <c r="B17" t="s">
        <v>64</v>
      </c>
      <c r="C17" t="s">
        <v>65</v>
      </c>
      <c r="D17" t="s">
        <v>12</v>
      </c>
      <c r="E17" t="s">
        <v>3</v>
      </c>
      <c r="F17" s="1">
        <v>44980</v>
      </c>
      <c r="G17" s="1">
        <v>45114</v>
      </c>
      <c r="H17">
        <f t="shared" si="0"/>
        <v>134</v>
      </c>
      <c r="J17">
        <v>30</v>
      </c>
      <c r="K17">
        <v>233</v>
      </c>
      <c r="L17">
        <v>2</v>
      </c>
      <c r="O17" s="2">
        <v>28.29</v>
      </c>
      <c r="P17" s="3">
        <v>0.8216</v>
      </c>
      <c r="Q17" s="4">
        <v>0.547372685185185</v>
      </c>
      <c r="R17" s="4">
        <v>0.7895833333333333</v>
      </c>
      <c r="S17" s="2"/>
      <c r="T17" s="13"/>
      <c r="V17" s="10"/>
      <c r="W17" s="2" t="str">
        <f t="shared" si="1"/>
        <v>5:48:47</v>
      </c>
      <c r="Y17" s="12"/>
      <c r="AA17" s="10">
        <v>36.78</v>
      </c>
      <c r="AB17" s="10" t="s">
        <v>91</v>
      </c>
    </row>
    <row r="18" spans="1:29" x14ac:dyDescent="0.25">
      <c r="A18">
        <v>96</v>
      </c>
      <c r="B18" t="s">
        <v>64</v>
      </c>
      <c r="C18" t="s">
        <v>65</v>
      </c>
      <c r="D18" t="s">
        <v>12</v>
      </c>
      <c r="E18" t="s">
        <v>3</v>
      </c>
      <c r="F18" s="1">
        <v>44980</v>
      </c>
      <c r="G18" s="1">
        <v>45119</v>
      </c>
      <c r="H18">
        <f t="shared" si="0"/>
        <v>139</v>
      </c>
      <c r="I18" t="s">
        <v>38</v>
      </c>
      <c r="J18">
        <v>28.5</v>
      </c>
      <c r="K18">
        <v>238</v>
      </c>
      <c r="L18">
        <v>2</v>
      </c>
      <c r="M18">
        <v>6</v>
      </c>
      <c r="N18">
        <v>4</v>
      </c>
      <c r="O18" s="2">
        <v>31.02</v>
      </c>
      <c r="P18" s="3">
        <v>1.2379</v>
      </c>
      <c r="Q18" s="4">
        <v>0.50962962962962999</v>
      </c>
      <c r="R18" s="4">
        <v>0.75624999999999998</v>
      </c>
      <c r="T18" s="13"/>
      <c r="U18" s="10">
        <v>36.795999999999999</v>
      </c>
      <c r="V18" s="2"/>
      <c r="W18" s="2" t="str">
        <f t="shared" si="1"/>
        <v>5:55:08</v>
      </c>
      <c r="X18" s="10">
        <v>0.01</v>
      </c>
      <c r="Y18" s="12">
        <f t="shared" ref="Y18:Y28" si="6">U18-X18</f>
        <v>36.786000000000001</v>
      </c>
      <c r="AA18" s="10">
        <f t="shared" ref="AA18:AA28" si="7">AVERAGE(Y18,T18)</f>
        <v>36.786000000000001</v>
      </c>
      <c r="AB18" s="10" t="s">
        <v>90</v>
      </c>
    </row>
    <row r="19" spans="1:29" x14ac:dyDescent="0.25">
      <c r="A19">
        <v>96</v>
      </c>
      <c r="B19" t="s">
        <v>64</v>
      </c>
      <c r="C19" t="s">
        <v>65</v>
      </c>
      <c r="D19" t="s">
        <v>12</v>
      </c>
      <c r="E19" t="s">
        <v>3</v>
      </c>
      <c r="F19" s="1">
        <v>44980</v>
      </c>
      <c r="G19" s="1">
        <v>45119</v>
      </c>
      <c r="H19">
        <f t="shared" si="0"/>
        <v>139</v>
      </c>
      <c r="I19" t="s">
        <v>38</v>
      </c>
      <c r="J19">
        <v>28.5</v>
      </c>
      <c r="K19">
        <v>238</v>
      </c>
      <c r="L19">
        <v>2</v>
      </c>
      <c r="M19">
        <v>6</v>
      </c>
      <c r="N19">
        <v>3</v>
      </c>
      <c r="O19" s="2">
        <v>31.33</v>
      </c>
      <c r="P19" s="3">
        <v>1.321</v>
      </c>
      <c r="Q19" s="4">
        <v>0.50962962962962999</v>
      </c>
      <c r="R19" s="4">
        <v>0.75624999999999998</v>
      </c>
      <c r="T19" s="13"/>
      <c r="U19" s="10">
        <v>36.795999999999999</v>
      </c>
      <c r="V19" s="2"/>
      <c r="W19" s="2" t="str">
        <f t="shared" si="1"/>
        <v>5:55:08</v>
      </c>
      <c r="X19" s="10">
        <v>0.01</v>
      </c>
      <c r="Y19" s="12">
        <f t="shared" si="6"/>
        <v>36.786000000000001</v>
      </c>
      <c r="AA19" s="10">
        <f t="shared" si="7"/>
        <v>36.786000000000001</v>
      </c>
      <c r="AB19" s="10" t="s">
        <v>90</v>
      </c>
    </row>
    <row r="20" spans="1:29" x14ac:dyDescent="0.25">
      <c r="A20">
        <v>96</v>
      </c>
      <c r="B20" t="s">
        <v>64</v>
      </c>
      <c r="C20" t="s">
        <v>65</v>
      </c>
      <c r="D20" t="s">
        <v>12</v>
      </c>
      <c r="E20" t="s">
        <v>3</v>
      </c>
      <c r="F20" s="1">
        <v>44980</v>
      </c>
      <c r="G20" s="1">
        <v>45119</v>
      </c>
      <c r="H20">
        <f t="shared" si="0"/>
        <v>139</v>
      </c>
      <c r="I20" t="s">
        <v>38</v>
      </c>
      <c r="J20">
        <v>28.5</v>
      </c>
      <c r="K20">
        <v>238</v>
      </c>
      <c r="L20">
        <v>2</v>
      </c>
      <c r="M20">
        <v>6</v>
      </c>
      <c r="N20">
        <v>1</v>
      </c>
      <c r="O20" s="2">
        <v>32.89</v>
      </c>
      <c r="P20" s="3">
        <v>1.4782999999999999</v>
      </c>
      <c r="Q20" s="4">
        <v>0.50962962962962999</v>
      </c>
      <c r="R20" s="4">
        <v>0.75624999999999998</v>
      </c>
      <c r="T20" s="13"/>
      <c r="U20" s="10">
        <v>36.795999999999999</v>
      </c>
      <c r="V20" s="2"/>
      <c r="W20" s="2" t="str">
        <f t="shared" si="1"/>
        <v>5:55:08</v>
      </c>
      <c r="X20" s="10">
        <v>0.01</v>
      </c>
      <c r="Y20" s="12">
        <f t="shared" si="6"/>
        <v>36.786000000000001</v>
      </c>
      <c r="AA20" s="10">
        <f t="shared" si="7"/>
        <v>36.786000000000001</v>
      </c>
      <c r="AB20" s="10" t="s">
        <v>90</v>
      </c>
    </row>
    <row r="21" spans="1:29" x14ac:dyDescent="0.25">
      <c r="A21">
        <v>108</v>
      </c>
      <c r="B21" t="s">
        <v>62</v>
      </c>
      <c r="C21" t="s">
        <v>63</v>
      </c>
      <c r="D21" t="s">
        <v>12</v>
      </c>
      <c r="E21" t="s">
        <v>3</v>
      </c>
      <c r="F21" s="1">
        <v>44990</v>
      </c>
      <c r="G21" s="1">
        <v>45113</v>
      </c>
      <c r="H21">
        <f t="shared" si="0"/>
        <v>123</v>
      </c>
      <c r="I21" t="s">
        <v>37</v>
      </c>
      <c r="J21">
        <v>28.5</v>
      </c>
      <c r="K21">
        <v>344</v>
      </c>
      <c r="L21">
        <v>2</v>
      </c>
      <c r="M21">
        <v>4</v>
      </c>
      <c r="N21">
        <v>4</v>
      </c>
      <c r="O21" s="2">
        <v>30.65</v>
      </c>
      <c r="P21" s="3">
        <v>1.1814</v>
      </c>
      <c r="Q21" s="4">
        <v>0.48844907407407401</v>
      </c>
      <c r="R21" s="4">
        <v>0.73055555555555562</v>
      </c>
      <c r="T21" s="13">
        <v>36.75</v>
      </c>
      <c r="U21" s="10">
        <v>36.795999999999999</v>
      </c>
      <c r="V21" s="2">
        <f t="shared" ref="V21:V28" si="8">U21-T21</f>
        <v>4.5999999999999375E-2</v>
      </c>
      <c r="W21" s="2" t="str">
        <f t="shared" si="1"/>
        <v>5:48:38</v>
      </c>
      <c r="X21" s="10">
        <v>-2.92E-2</v>
      </c>
      <c r="Y21" s="12">
        <f t="shared" si="6"/>
        <v>36.825200000000002</v>
      </c>
      <c r="Z21" s="10">
        <f t="shared" ref="Z21:Z28" si="9">Y21-T21</f>
        <v>7.5200000000002376E-2</v>
      </c>
      <c r="AA21" s="10">
        <f t="shared" si="7"/>
        <v>36.787599999999998</v>
      </c>
      <c r="AB21" s="10" t="s">
        <v>90</v>
      </c>
      <c r="AC21" t="s">
        <v>71</v>
      </c>
    </row>
    <row r="22" spans="1:29" x14ac:dyDescent="0.25">
      <c r="A22">
        <v>99</v>
      </c>
      <c r="B22" t="s">
        <v>57</v>
      </c>
      <c r="C22" t="s">
        <v>58</v>
      </c>
      <c r="D22" t="s">
        <v>12</v>
      </c>
      <c r="E22" t="s">
        <v>3</v>
      </c>
      <c r="F22" s="1">
        <v>44980</v>
      </c>
      <c r="G22" s="1">
        <v>45120</v>
      </c>
      <c r="H22">
        <f t="shared" si="0"/>
        <v>140</v>
      </c>
      <c r="I22" t="s">
        <v>36</v>
      </c>
      <c r="J22">
        <v>28.5</v>
      </c>
      <c r="K22">
        <v>342</v>
      </c>
      <c r="L22">
        <v>2</v>
      </c>
      <c r="M22">
        <v>4</v>
      </c>
      <c r="N22">
        <v>1</v>
      </c>
      <c r="O22" s="2">
        <v>30.01</v>
      </c>
      <c r="P22" s="3">
        <v>1.1308</v>
      </c>
      <c r="Q22" s="4">
        <v>0.493229166666667</v>
      </c>
      <c r="R22" s="4">
        <v>0.73472222222222217</v>
      </c>
      <c r="T22" s="13">
        <v>36.85</v>
      </c>
      <c r="U22" s="10">
        <v>36.756</v>
      </c>
      <c r="V22" s="2">
        <f t="shared" si="8"/>
        <v>-9.4000000000001194E-2</v>
      </c>
      <c r="W22" s="2" t="str">
        <f t="shared" si="1"/>
        <v>5:47:45</v>
      </c>
      <c r="X22" s="10">
        <v>1.7999999999999999E-2</v>
      </c>
      <c r="Y22" s="12">
        <f t="shared" si="6"/>
        <v>36.738</v>
      </c>
      <c r="Z22" s="10">
        <f t="shared" si="9"/>
        <v>-0.11200000000000188</v>
      </c>
      <c r="AA22" s="10">
        <f t="shared" si="7"/>
        <v>36.793999999999997</v>
      </c>
      <c r="AB22" s="10" t="s">
        <v>90</v>
      </c>
    </row>
    <row r="23" spans="1:29" x14ac:dyDescent="0.25">
      <c r="A23">
        <v>99</v>
      </c>
      <c r="B23" t="s">
        <v>57</v>
      </c>
      <c r="C23" t="s">
        <v>58</v>
      </c>
      <c r="D23" t="s">
        <v>12</v>
      </c>
      <c r="E23" t="s">
        <v>3</v>
      </c>
      <c r="F23" s="1">
        <v>44980</v>
      </c>
      <c r="G23" s="1">
        <v>45120</v>
      </c>
      <c r="H23">
        <f t="shared" si="0"/>
        <v>140</v>
      </c>
      <c r="I23" t="s">
        <v>36</v>
      </c>
      <c r="J23">
        <v>28.5</v>
      </c>
      <c r="K23">
        <v>342</v>
      </c>
      <c r="L23">
        <v>2</v>
      </c>
      <c r="M23">
        <v>4</v>
      </c>
      <c r="N23">
        <v>5</v>
      </c>
      <c r="O23" s="2">
        <v>33.31</v>
      </c>
      <c r="P23" s="3">
        <v>1.5401</v>
      </c>
      <c r="Q23" s="4">
        <v>0.493229166666667</v>
      </c>
      <c r="R23" s="4">
        <v>0.73472222222222217</v>
      </c>
      <c r="T23" s="13">
        <v>36.85</v>
      </c>
      <c r="U23" s="10">
        <v>36.756</v>
      </c>
      <c r="V23" s="2">
        <f t="shared" si="8"/>
        <v>-9.4000000000001194E-2</v>
      </c>
      <c r="W23" s="2" t="str">
        <f t="shared" si="1"/>
        <v>5:47:45</v>
      </c>
      <c r="X23" s="10">
        <v>1.7999999999999999E-2</v>
      </c>
      <c r="Y23" s="12">
        <f t="shared" si="6"/>
        <v>36.738</v>
      </c>
      <c r="Z23" s="10">
        <f t="shared" si="9"/>
        <v>-0.11200000000000188</v>
      </c>
      <c r="AA23" s="10">
        <f t="shared" si="7"/>
        <v>36.793999999999997</v>
      </c>
      <c r="AB23" s="10" t="s">
        <v>90</v>
      </c>
    </row>
    <row r="24" spans="1:29" x14ac:dyDescent="0.25">
      <c r="A24">
        <v>96</v>
      </c>
      <c r="B24" t="s">
        <v>64</v>
      </c>
      <c r="C24" t="s">
        <v>65</v>
      </c>
      <c r="D24" t="s">
        <v>12</v>
      </c>
      <c r="E24" t="s">
        <v>3</v>
      </c>
      <c r="F24" s="1">
        <v>44980</v>
      </c>
      <c r="G24" s="1">
        <v>45113</v>
      </c>
      <c r="H24">
        <f t="shared" si="0"/>
        <v>133</v>
      </c>
      <c r="I24" t="s">
        <v>37</v>
      </c>
      <c r="J24">
        <v>28.5</v>
      </c>
      <c r="K24">
        <v>345</v>
      </c>
      <c r="L24">
        <v>1</v>
      </c>
      <c r="M24">
        <v>6</v>
      </c>
      <c r="N24">
        <v>5</v>
      </c>
      <c r="O24" s="2">
        <v>31.77</v>
      </c>
      <c r="P24" s="3">
        <v>1.3272999999999999</v>
      </c>
      <c r="Q24" s="4">
        <v>0.48844907407407401</v>
      </c>
      <c r="R24" s="4">
        <v>0.73055555555555562</v>
      </c>
      <c r="T24" s="13">
        <v>36.799999999999997</v>
      </c>
      <c r="U24" s="10">
        <v>36.795999999999999</v>
      </c>
      <c r="V24" s="2">
        <f t="shared" si="8"/>
        <v>-3.9999999999977831E-3</v>
      </c>
      <c r="W24" s="2" t="str">
        <f t="shared" si="1"/>
        <v>5:48:38</v>
      </c>
      <c r="X24" s="10">
        <v>7.6999999999999996E-4</v>
      </c>
      <c r="Y24" s="12">
        <f t="shared" si="6"/>
        <v>36.795229999999997</v>
      </c>
      <c r="Z24" s="10">
        <f t="shared" si="9"/>
        <v>-4.7700000000006071E-3</v>
      </c>
      <c r="AA24" s="10">
        <f t="shared" si="7"/>
        <v>36.797614999999993</v>
      </c>
      <c r="AB24" s="10" t="s">
        <v>90</v>
      </c>
    </row>
    <row r="25" spans="1:29" x14ac:dyDescent="0.25">
      <c r="A25">
        <v>96</v>
      </c>
      <c r="B25" t="s">
        <v>64</v>
      </c>
      <c r="C25" t="s">
        <v>65</v>
      </c>
      <c r="D25" t="s">
        <v>12</v>
      </c>
      <c r="E25" t="s">
        <v>3</v>
      </c>
      <c r="F25" s="1">
        <v>44980</v>
      </c>
      <c r="G25" s="1">
        <v>45113</v>
      </c>
      <c r="H25">
        <f t="shared" si="0"/>
        <v>133</v>
      </c>
      <c r="I25" t="s">
        <v>37</v>
      </c>
      <c r="J25">
        <v>28.5</v>
      </c>
      <c r="K25">
        <v>345</v>
      </c>
      <c r="L25">
        <v>1</v>
      </c>
      <c r="M25">
        <v>6</v>
      </c>
      <c r="N25">
        <v>2</v>
      </c>
      <c r="O25" s="2">
        <v>32.79</v>
      </c>
      <c r="P25" s="3">
        <v>1.5218</v>
      </c>
      <c r="Q25" s="4">
        <v>0.48844907407407401</v>
      </c>
      <c r="R25" s="4">
        <v>0.73055555555555562</v>
      </c>
      <c r="T25" s="13">
        <v>36.799999999999997</v>
      </c>
      <c r="U25" s="10">
        <v>36.795999999999999</v>
      </c>
      <c r="V25" s="2">
        <f t="shared" si="8"/>
        <v>-3.9999999999977831E-3</v>
      </c>
      <c r="W25" s="2" t="str">
        <f t="shared" si="1"/>
        <v>5:48:38</v>
      </c>
      <c r="X25" s="10">
        <v>7.6999999999999996E-4</v>
      </c>
      <c r="Y25" s="12">
        <f t="shared" si="6"/>
        <v>36.795229999999997</v>
      </c>
      <c r="Z25" s="10">
        <f t="shared" si="9"/>
        <v>-4.7700000000006071E-3</v>
      </c>
      <c r="AA25" s="10">
        <f t="shared" si="7"/>
        <v>36.797614999999993</v>
      </c>
      <c r="AB25" s="10" t="s">
        <v>90</v>
      </c>
    </row>
    <row r="26" spans="1:29" x14ac:dyDescent="0.25">
      <c r="A26">
        <v>96</v>
      </c>
      <c r="B26" t="s">
        <v>64</v>
      </c>
      <c r="C26" t="s">
        <v>65</v>
      </c>
      <c r="D26" t="s">
        <v>12</v>
      </c>
      <c r="E26" t="s">
        <v>3</v>
      </c>
      <c r="F26" s="1">
        <v>44980</v>
      </c>
      <c r="G26" s="1">
        <v>45113</v>
      </c>
      <c r="H26">
        <f t="shared" si="0"/>
        <v>133</v>
      </c>
      <c r="I26" t="s">
        <v>37</v>
      </c>
      <c r="J26">
        <v>28.5</v>
      </c>
      <c r="K26">
        <v>345</v>
      </c>
      <c r="L26">
        <v>1</v>
      </c>
      <c r="M26">
        <v>6</v>
      </c>
      <c r="N26">
        <v>4</v>
      </c>
      <c r="O26" s="2">
        <v>33.909999999999997</v>
      </c>
      <c r="P26" s="3">
        <v>1.5448</v>
      </c>
      <c r="Q26" s="4">
        <v>0.48844907407407401</v>
      </c>
      <c r="R26" s="4">
        <v>0.73055555555555562</v>
      </c>
      <c r="T26" s="13">
        <v>36.799999999999997</v>
      </c>
      <c r="U26" s="10">
        <v>36.795999999999999</v>
      </c>
      <c r="V26" s="2">
        <f t="shared" si="8"/>
        <v>-3.9999999999977831E-3</v>
      </c>
      <c r="W26" s="2" t="str">
        <f t="shared" si="1"/>
        <v>5:48:38</v>
      </c>
      <c r="X26" s="10">
        <v>7.6999999999999996E-4</v>
      </c>
      <c r="Y26" s="12">
        <f t="shared" si="6"/>
        <v>36.795229999999997</v>
      </c>
      <c r="Z26" s="10">
        <f t="shared" si="9"/>
        <v>-4.7700000000006071E-3</v>
      </c>
      <c r="AA26" s="10">
        <f t="shared" si="7"/>
        <v>36.797614999999993</v>
      </c>
      <c r="AB26" s="10" t="s">
        <v>90</v>
      </c>
    </row>
    <row r="27" spans="1:29" x14ac:dyDescent="0.25">
      <c r="A27">
        <v>108</v>
      </c>
      <c r="B27" t="s">
        <v>62</v>
      </c>
      <c r="C27" t="s">
        <v>63</v>
      </c>
      <c r="D27" t="s">
        <v>12</v>
      </c>
      <c r="E27" t="s">
        <v>3</v>
      </c>
      <c r="F27" s="1">
        <v>44990</v>
      </c>
      <c r="G27" s="1">
        <v>45113</v>
      </c>
      <c r="H27">
        <f t="shared" si="0"/>
        <v>123</v>
      </c>
      <c r="I27" t="s">
        <v>37</v>
      </c>
      <c r="J27">
        <v>28.5</v>
      </c>
      <c r="K27">
        <v>344</v>
      </c>
      <c r="L27">
        <v>2</v>
      </c>
      <c r="M27">
        <v>4</v>
      </c>
      <c r="N27">
        <v>3</v>
      </c>
      <c r="O27" s="2">
        <v>29.87</v>
      </c>
      <c r="P27" s="3">
        <v>1.1176999999999999</v>
      </c>
      <c r="Q27" s="4">
        <v>0.48844907407407401</v>
      </c>
      <c r="R27" s="4">
        <v>0.72916666666666663</v>
      </c>
      <c r="T27" s="13">
        <v>36.799999999999997</v>
      </c>
      <c r="U27" s="10">
        <v>36.768999999999998</v>
      </c>
      <c r="V27" s="2">
        <f t="shared" si="8"/>
        <v>-3.0999999999998806E-2</v>
      </c>
      <c r="W27" s="2" t="str">
        <f t="shared" si="1"/>
        <v>5:46:38</v>
      </c>
      <c r="X27" s="10">
        <v>-2.92E-2</v>
      </c>
      <c r="Y27" s="12">
        <f t="shared" si="6"/>
        <v>36.798200000000001</v>
      </c>
      <c r="Z27" s="10">
        <f t="shared" si="9"/>
        <v>-1.799999999995805E-3</v>
      </c>
      <c r="AA27" s="10">
        <f t="shared" si="7"/>
        <v>36.799099999999996</v>
      </c>
      <c r="AB27" s="10" t="s">
        <v>90</v>
      </c>
      <c r="AC27" t="s">
        <v>71</v>
      </c>
    </row>
    <row r="28" spans="1:29" x14ac:dyDescent="0.25">
      <c r="A28">
        <v>108</v>
      </c>
      <c r="B28" t="s">
        <v>62</v>
      </c>
      <c r="C28" t="s">
        <v>63</v>
      </c>
      <c r="D28" t="s">
        <v>12</v>
      </c>
      <c r="E28" t="s">
        <v>3</v>
      </c>
      <c r="F28" s="1">
        <v>44990</v>
      </c>
      <c r="G28" s="1">
        <v>45113</v>
      </c>
      <c r="H28">
        <f t="shared" si="0"/>
        <v>123</v>
      </c>
      <c r="I28" t="s">
        <v>37</v>
      </c>
      <c r="J28">
        <v>28.5</v>
      </c>
      <c r="K28">
        <v>344</v>
      </c>
      <c r="L28">
        <v>2</v>
      </c>
      <c r="M28">
        <v>4</v>
      </c>
      <c r="N28">
        <v>5</v>
      </c>
      <c r="O28" s="2">
        <v>32.630000000000003</v>
      </c>
      <c r="P28" s="3">
        <v>1.4314</v>
      </c>
      <c r="Q28" s="4">
        <v>0.48844907407407401</v>
      </c>
      <c r="R28" s="4">
        <v>0.72916666666666663</v>
      </c>
      <c r="T28" s="13">
        <v>36.799999999999997</v>
      </c>
      <c r="U28" s="10">
        <v>36.768999999999998</v>
      </c>
      <c r="V28" s="2">
        <f t="shared" si="8"/>
        <v>-3.0999999999998806E-2</v>
      </c>
      <c r="W28" s="2" t="str">
        <f t="shared" si="1"/>
        <v>5:46:38</v>
      </c>
      <c r="X28" s="10">
        <v>-2.92E-2</v>
      </c>
      <c r="Y28" s="12">
        <f t="shared" si="6"/>
        <v>36.798200000000001</v>
      </c>
      <c r="Z28" s="10">
        <f t="shared" si="9"/>
        <v>-1.799999999995805E-3</v>
      </c>
      <c r="AA28" s="10">
        <f t="shared" si="7"/>
        <v>36.799099999999996</v>
      </c>
      <c r="AB28" s="10" t="s">
        <v>90</v>
      </c>
      <c r="AC28" t="s">
        <v>71</v>
      </c>
    </row>
    <row r="29" spans="1:29" x14ac:dyDescent="0.25">
      <c r="A29">
        <v>96</v>
      </c>
      <c r="B29" t="s">
        <v>64</v>
      </c>
      <c r="C29" t="s">
        <v>65</v>
      </c>
      <c r="D29" t="s">
        <v>12</v>
      </c>
      <c r="E29" t="s">
        <v>3</v>
      </c>
      <c r="F29" s="1">
        <v>44980</v>
      </c>
      <c r="G29" s="1">
        <v>45120</v>
      </c>
      <c r="H29">
        <f t="shared" si="0"/>
        <v>140</v>
      </c>
      <c r="J29">
        <v>30</v>
      </c>
      <c r="K29">
        <v>233</v>
      </c>
      <c r="L29">
        <v>2</v>
      </c>
      <c r="O29" s="2">
        <v>29.34</v>
      </c>
      <c r="P29" s="3">
        <v>0.96309999999999996</v>
      </c>
      <c r="Q29" s="4">
        <v>0.48958333333333298</v>
      </c>
      <c r="R29" s="4">
        <v>0.73611111111111116</v>
      </c>
      <c r="S29" s="2"/>
      <c r="T29" s="13"/>
      <c r="V29" s="10"/>
      <c r="W29" s="2" t="str">
        <f t="shared" si="1"/>
        <v>5:55:00</v>
      </c>
      <c r="Y29" s="12"/>
      <c r="AA29" s="10">
        <v>36.81</v>
      </c>
      <c r="AB29" s="10" t="s">
        <v>91</v>
      </c>
    </row>
    <row r="30" spans="1:29" x14ac:dyDescent="0.25">
      <c r="A30">
        <v>99</v>
      </c>
      <c r="B30" t="s">
        <v>57</v>
      </c>
      <c r="C30" t="s">
        <v>58</v>
      </c>
      <c r="D30" t="s">
        <v>12</v>
      </c>
      <c r="E30" t="s">
        <v>3</v>
      </c>
      <c r="F30" s="1">
        <v>44980</v>
      </c>
      <c r="G30" s="1">
        <v>45113</v>
      </c>
      <c r="H30">
        <f t="shared" si="0"/>
        <v>133</v>
      </c>
      <c r="I30" t="s">
        <v>37</v>
      </c>
      <c r="J30">
        <v>28.5</v>
      </c>
      <c r="K30">
        <v>342</v>
      </c>
      <c r="L30">
        <v>1</v>
      </c>
      <c r="M30">
        <v>2</v>
      </c>
      <c r="N30">
        <v>2</v>
      </c>
      <c r="O30" s="2">
        <v>36.1</v>
      </c>
      <c r="P30" s="3">
        <v>2.0851999999999999</v>
      </c>
      <c r="Q30" s="4">
        <v>0.48844907407407401</v>
      </c>
      <c r="R30" s="4">
        <v>0.72986111111111107</v>
      </c>
      <c r="T30" s="13">
        <v>36.799999999999997</v>
      </c>
      <c r="U30" s="10">
        <v>36.96</v>
      </c>
      <c r="V30" s="8">
        <f>U30-T30</f>
        <v>0.16000000000000369</v>
      </c>
      <c r="W30" s="2" t="str">
        <f t="shared" si="1"/>
        <v>5:47:38</v>
      </c>
      <c r="X30" s="10">
        <v>7.6700000000000004E-2</v>
      </c>
      <c r="Y30" s="12">
        <f>U30-X30</f>
        <v>36.883299999999998</v>
      </c>
      <c r="Z30" s="10">
        <f>Y30-T30</f>
        <v>8.3300000000001262E-2</v>
      </c>
      <c r="AA30" s="10">
        <f>AVERAGE(Y30,T30)</f>
        <v>36.841650000000001</v>
      </c>
      <c r="AB30" s="10" t="s">
        <v>90</v>
      </c>
    </row>
    <row r="31" spans="1:29" x14ac:dyDescent="0.25">
      <c r="A31">
        <v>99</v>
      </c>
      <c r="B31" t="s">
        <v>57</v>
      </c>
      <c r="C31" t="s">
        <v>58</v>
      </c>
      <c r="D31" t="s">
        <v>12</v>
      </c>
      <c r="E31" t="s">
        <v>3</v>
      </c>
      <c r="F31" s="1">
        <v>44980</v>
      </c>
      <c r="G31" s="1">
        <v>45113</v>
      </c>
      <c r="H31">
        <f t="shared" si="0"/>
        <v>133</v>
      </c>
      <c r="I31" t="s">
        <v>38</v>
      </c>
      <c r="J31">
        <v>30</v>
      </c>
      <c r="K31">
        <v>234</v>
      </c>
      <c r="L31">
        <v>1</v>
      </c>
      <c r="M31">
        <v>2</v>
      </c>
      <c r="N31">
        <v>5</v>
      </c>
      <c r="O31" s="2">
        <v>28.78</v>
      </c>
      <c r="P31" s="3">
        <v>0.91820000000000002</v>
      </c>
      <c r="Q31" s="4">
        <v>0.48844907407407401</v>
      </c>
      <c r="R31" s="4">
        <v>0.79027777777777775</v>
      </c>
      <c r="T31" s="13">
        <v>36.799999999999997</v>
      </c>
      <c r="U31" s="10">
        <v>36.905000000000001</v>
      </c>
      <c r="V31" s="2">
        <f>U31-T31</f>
        <v>0.10500000000000398</v>
      </c>
      <c r="W31" s="2" t="str">
        <f t="shared" si="1"/>
        <v>7:14:38</v>
      </c>
      <c r="X31" s="10">
        <v>0.01</v>
      </c>
      <c r="Y31" s="12">
        <f>U31-X31</f>
        <v>36.895000000000003</v>
      </c>
      <c r="Z31" s="10">
        <f>Y31-T31</f>
        <v>9.5000000000005969E-2</v>
      </c>
      <c r="AA31" s="10">
        <f>AVERAGE(Y31,T31)</f>
        <v>36.847499999999997</v>
      </c>
      <c r="AB31" s="10" t="s">
        <v>90</v>
      </c>
    </row>
    <row r="32" spans="1:29" x14ac:dyDescent="0.25">
      <c r="A32">
        <v>99</v>
      </c>
      <c r="B32" t="s">
        <v>57</v>
      </c>
      <c r="C32" t="s">
        <v>58</v>
      </c>
      <c r="D32" t="s">
        <v>12</v>
      </c>
      <c r="E32" t="s">
        <v>3</v>
      </c>
      <c r="F32" s="1">
        <v>44980</v>
      </c>
      <c r="G32" s="1">
        <v>45113</v>
      </c>
      <c r="H32">
        <f t="shared" si="0"/>
        <v>133</v>
      </c>
      <c r="I32" t="s">
        <v>38</v>
      </c>
      <c r="J32">
        <v>30</v>
      </c>
      <c r="K32">
        <v>234</v>
      </c>
      <c r="L32">
        <v>1</v>
      </c>
      <c r="M32">
        <v>2</v>
      </c>
      <c r="N32">
        <v>4</v>
      </c>
      <c r="O32" s="2">
        <v>34.159999999999997</v>
      </c>
      <c r="P32" s="3">
        <v>1.5254000000000001</v>
      </c>
      <c r="Q32" s="4">
        <v>0.48844907407407401</v>
      </c>
      <c r="R32" s="4">
        <v>0.79027777777777775</v>
      </c>
      <c r="T32" s="13">
        <v>36.799999999999997</v>
      </c>
      <c r="U32" s="10">
        <v>36.905000000000001</v>
      </c>
      <c r="V32" s="2">
        <f>U32-T32</f>
        <v>0.10500000000000398</v>
      </c>
      <c r="W32" s="2" t="str">
        <f t="shared" si="1"/>
        <v>7:14:38</v>
      </c>
      <c r="X32" s="10">
        <v>0.01</v>
      </c>
      <c r="Y32" s="12">
        <f>U32-X32</f>
        <v>36.895000000000003</v>
      </c>
      <c r="Z32" s="10">
        <f>Y32-T32</f>
        <v>9.5000000000005969E-2</v>
      </c>
      <c r="AA32" s="10">
        <f>AVERAGE(Y32,T32)</f>
        <v>36.847499999999997</v>
      </c>
      <c r="AB32" s="10" t="s">
        <v>90</v>
      </c>
    </row>
    <row r="33" spans="1:28" x14ac:dyDescent="0.25">
      <c r="A33">
        <v>99</v>
      </c>
      <c r="B33" t="s">
        <v>57</v>
      </c>
      <c r="C33" t="s">
        <v>58</v>
      </c>
      <c r="D33" t="s">
        <v>12</v>
      </c>
      <c r="E33" t="s">
        <v>3</v>
      </c>
      <c r="F33" s="1">
        <v>44980</v>
      </c>
      <c r="G33" s="1">
        <v>45117</v>
      </c>
      <c r="H33">
        <f t="shared" si="0"/>
        <v>137</v>
      </c>
      <c r="J33">
        <v>30</v>
      </c>
      <c r="K33">
        <v>234</v>
      </c>
      <c r="L33">
        <v>1</v>
      </c>
      <c r="O33" s="2">
        <v>40.26</v>
      </c>
      <c r="P33" s="3">
        <v>2.2130999999999998</v>
      </c>
      <c r="Q33" s="4">
        <v>0.55208333333333337</v>
      </c>
      <c r="R33" s="4">
        <v>0.80833333333333324</v>
      </c>
      <c r="S33" s="2"/>
      <c r="T33" s="13"/>
      <c r="V33" s="10"/>
      <c r="W33" s="2" t="str">
        <f t="shared" si="1"/>
        <v>6:09:00</v>
      </c>
      <c r="Y33" s="12"/>
      <c r="AA33" s="10">
        <v>36.85</v>
      </c>
      <c r="AB33" s="10" t="s">
        <v>91</v>
      </c>
    </row>
    <row r="34" spans="1:28" x14ac:dyDescent="0.25">
      <c r="A34">
        <v>108</v>
      </c>
      <c r="B34" t="s">
        <v>62</v>
      </c>
      <c r="C34" t="s">
        <v>63</v>
      </c>
      <c r="D34" t="s">
        <v>12</v>
      </c>
      <c r="E34" t="s">
        <v>3</v>
      </c>
      <c r="F34" s="1">
        <v>44990</v>
      </c>
      <c r="G34" s="1">
        <v>45113</v>
      </c>
      <c r="H34">
        <f t="shared" si="0"/>
        <v>123</v>
      </c>
      <c r="J34">
        <v>28.5</v>
      </c>
      <c r="K34">
        <v>236</v>
      </c>
      <c r="L34">
        <v>1</v>
      </c>
      <c r="O34" s="2">
        <v>33.090000000000003</v>
      </c>
      <c r="P34" s="3">
        <v>1.329</v>
      </c>
      <c r="Q34" s="4">
        <v>0.48844907407407401</v>
      </c>
      <c r="R34" s="4">
        <v>0.72986111111111107</v>
      </c>
      <c r="S34" s="2"/>
      <c r="T34" s="13"/>
      <c r="V34" s="10"/>
      <c r="W34" s="2" t="str">
        <f t="shared" ref="W34:W65" si="10">TEXT(R34-Q34,"h:mm:ss")</f>
        <v>5:47:38</v>
      </c>
      <c r="Y34" s="12"/>
      <c r="AA34" s="10">
        <v>36.880000000000003</v>
      </c>
      <c r="AB34" s="10" t="s">
        <v>91</v>
      </c>
    </row>
    <row r="35" spans="1:28" x14ac:dyDescent="0.25">
      <c r="A35">
        <v>108</v>
      </c>
      <c r="B35" t="s">
        <v>62</v>
      </c>
      <c r="C35" t="s">
        <v>63</v>
      </c>
      <c r="D35" t="s">
        <v>12</v>
      </c>
      <c r="E35" t="s">
        <v>3</v>
      </c>
      <c r="F35" s="1">
        <v>44990</v>
      </c>
      <c r="G35" s="1">
        <v>45120</v>
      </c>
      <c r="H35">
        <f t="shared" si="0"/>
        <v>130</v>
      </c>
      <c r="I35" t="s">
        <v>36</v>
      </c>
      <c r="J35">
        <v>28.5</v>
      </c>
      <c r="K35">
        <v>236</v>
      </c>
      <c r="L35">
        <v>1</v>
      </c>
      <c r="M35">
        <v>3</v>
      </c>
      <c r="N35">
        <v>4</v>
      </c>
      <c r="O35" s="2">
        <v>25.06</v>
      </c>
      <c r="P35" s="3">
        <v>0.6129</v>
      </c>
      <c r="Q35" s="4">
        <v>0.493229166666667</v>
      </c>
      <c r="R35" s="4">
        <v>0.7368055555555556</v>
      </c>
      <c r="T35" s="13"/>
      <c r="U35" s="10">
        <v>36.905000000000001</v>
      </c>
      <c r="V35" s="2"/>
      <c r="W35" s="2" t="str">
        <f t="shared" si="10"/>
        <v>5:50:45</v>
      </c>
      <c r="X35" s="10">
        <v>2.3E-2</v>
      </c>
      <c r="Y35" s="12">
        <f>U35-X35</f>
        <v>36.881999999999998</v>
      </c>
      <c r="AA35" s="10">
        <f>AVERAGE(Y35,T35)</f>
        <v>36.881999999999998</v>
      </c>
      <c r="AB35" s="10" t="s">
        <v>90</v>
      </c>
    </row>
    <row r="36" spans="1:28" x14ac:dyDescent="0.25">
      <c r="A36">
        <v>99</v>
      </c>
      <c r="B36" t="s">
        <v>57</v>
      </c>
      <c r="C36" t="s">
        <v>58</v>
      </c>
      <c r="D36" t="s">
        <v>12</v>
      </c>
      <c r="E36" t="s">
        <v>3</v>
      </c>
      <c r="F36" s="1">
        <v>44980</v>
      </c>
      <c r="G36" s="1">
        <v>45120</v>
      </c>
      <c r="H36">
        <f t="shared" si="0"/>
        <v>140</v>
      </c>
      <c r="I36" t="s">
        <v>38</v>
      </c>
      <c r="J36">
        <v>31.5</v>
      </c>
      <c r="K36">
        <v>258</v>
      </c>
      <c r="L36">
        <v>1</v>
      </c>
      <c r="M36">
        <v>4</v>
      </c>
      <c r="N36">
        <v>5</v>
      </c>
      <c r="O36" s="2">
        <v>26.76</v>
      </c>
      <c r="P36" s="3">
        <v>0.75080000000000002</v>
      </c>
      <c r="Q36" s="4">
        <v>0.493229166666667</v>
      </c>
      <c r="R36" s="4">
        <v>0.7368055555555556</v>
      </c>
      <c r="T36" s="13">
        <v>37</v>
      </c>
      <c r="U36" s="10">
        <v>36.795999999999999</v>
      </c>
      <c r="V36" s="8">
        <f>U36-T36</f>
        <v>-0.20400000000000063</v>
      </c>
      <c r="W36" s="2" t="str">
        <f t="shared" si="10"/>
        <v>5:50:45</v>
      </c>
      <c r="X36" s="10">
        <v>1.7999999999999999E-2</v>
      </c>
      <c r="Y36" s="12">
        <f>U36-X36</f>
        <v>36.777999999999999</v>
      </c>
      <c r="Z36" s="11">
        <f>Y36-T36</f>
        <v>-0.22200000000000131</v>
      </c>
      <c r="AA36" s="10">
        <f>AVERAGE(Y36,T36)</f>
        <v>36.888999999999996</v>
      </c>
      <c r="AB36" s="10" t="s">
        <v>90</v>
      </c>
    </row>
    <row r="37" spans="1:28" x14ac:dyDescent="0.25">
      <c r="A37">
        <v>96</v>
      </c>
      <c r="B37" t="s">
        <v>64</v>
      </c>
      <c r="C37" t="s">
        <v>65</v>
      </c>
      <c r="D37" t="s">
        <v>12</v>
      </c>
      <c r="E37" t="s">
        <v>3</v>
      </c>
      <c r="F37" s="1">
        <v>44980</v>
      </c>
      <c r="G37" s="1">
        <v>45119</v>
      </c>
      <c r="H37">
        <f t="shared" si="0"/>
        <v>139</v>
      </c>
      <c r="I37" t="s">
        <v>37</v>
      </c>
      <c r="J37">
        <v>30</v>
      </c>
      <c r="K37">
        <v>233</v>
      </c>
      <c r="L37">
        <v>2</v>
      </c>
      <c r="M37">
        <v>6</v>
      </c>
      <c r="N37">
        <v>1</v>
      </c>
      <c r="O37" s="2">
        <v>25.22</v>
      </c>
      <c r="P37" s="3">
        <v>0.68840000000000001</v>
      </c>
      <c r="Q37" s="4">
        <v>0.50962962962962999</v>
      </c>
      <c r="R37" s="4">
        <v>0.76111111111111107</v>
      </c>
      <c r="T37" s="13"/>
      <c r="U37" s="10">
        <v>36.905000000000001</v>
      </c>
      <c r="V37" s="2"/>
      <c r="W37" s="2" t="str">
        <f t="shared" si="10"/>
        <v>6:02:08</v>
      </c>
      <c r="X37" s="10">
        <v>0.01</v>
      </c>
      <c r="Y37" s="12">
        <f>U37-X37</f>
        <v>36.895000000000003</v>
      </c>
      <c r="AA37" s="10">
        <f>AVERAGE(Y37,T37)</f>
        <v>36.895000000000003</v>
      </c>
      <c r="AB37" s="10" t="s">
        <v>90</v>
      </c>
    </row>
    <row r="38" spans="1:28" x14ac:dyDescent="0.25">
      <c r="A38">
        <v>99</v>
      </c>
      <c r="B38" t="s">
        <v>57</v>
      </c>
      <c r="C38" t="s">
        <v>58</v>
      </c>
      <c r="D38" t="s">
        <v>12</v>
      </c>
      <c r="E38" t="s">
        <v>3</v>
      </c>
      <c r="F38" s="1">
        <v>44980</v>
      </c>
      <c r="G38" s="1">
        <v>45112</v>
      </c>
      <c r="H38">
        <f t="shared" si="0"/>
        <v>132</v>
      </c>
      <c r="J38">
        <v>28.5</v>
      </c>
      <c r="K38">
        <v>342</v>
      </c>
      <c r="L38">
        <v>2</v>
      </c>
      <c r="O38" s="2">
        <v>33.909999999999997</v>
      </c>
      <c r="P38" s="3">
        <v>1.5155000000000001</v>
      </c>
      <c r="Q38" s="4">
        <v>0.54166666666666663</v>
      </c>
      <c r="R38" s="4">
        <v>0.79236111111111107</v>
      </c>
      <c r="S38" s="2"/>
      <c r="T38" s="13"/>
      <c r="V38" s="10"/>
      <c r="W38" s="2" t="str">
        <f t="shared" si="10"/>
        <v>6:01:00</v>
      </c>
      <c r="Y38" s="12"/>
      <c r="AA38" s="10">
        <v>36.9</v>
      </c>
      <c r="AB38" s="10" t="s">
        <v>91</v>
      </c>
    </row>
    <row r="39" spans="1:28" x14ac:dyDescent="0.25">
      <c r="A39">
        <v>99</v>
      </c>
      <c r="B39" t="s">
        <v>57</v>
      </c>
      <c r="C39" t="s">
        <v>58</v>
      </c>
      <c r="D39" t="s">
        <v>12</v>
      </c>
      <c r="E39" t="s">
        <v>3</v>
      </c>
      <c r="F39" s="1">
        <v>44980</v>
      </c>
      <c r="G39" s="1">
        <v>45120</v>
      </c>
      <c r="H39">
        <f t="shared" si="0"/>
        <v>140</v>
      </c>
      <c r="I39" t="s">
        <v>36</v>
      </c>
      <c r="J39">
        <v>28.5</v>
      </c>
      <c r="K39">
        <v>342</v>
      </c>
      <c r="L39">
        <v>2</v>
      </c>
      <c r="M39">
        <v>4</v>
      </c>
      <c r="N39">
        <v>2</v>
      </c>
      <c r="O39" s="2">
        <v>33.119999999999997</v>
      </c>
      <c r="P39" s="3">
        <v>1.4294</v>
      </c>
      <c r="Q39" s="4">
        <v>0.493229166666667</v>
      </c>
      <c r="R39" s="4">
        <v>0.73888888888888893</v>
      </c>
      <c r="T39" s="13">
        <v>36.950000000000003</v>
      </c>
      <c r="U39" s="10">
        <v>36.878</v>
      </c>
      <c r="V39" s="2">
        <f>U39-T39</f>
        <v>-7.2000000000002728E-2</v>
      </c>
      <c r="W39" s="2" t="str">
        <f t="shared" si="10"/>
        <v>5:53:45</v>
      </c>
      <c r="X39" s="10">
        <v>1.7999999999999999E-2</v>
      </c>
      <c r="Y39" s="12">
        <f>U39-X39</f>
        <v>36.86</v>
      </c>
      <c r="Z39" s="10">
        <f>Y39-T39</f>
        <v>-9.0000000000003411E-2</v>
      </c>
      <c r="AA39" s="10">
        <f>AVERAGE(Y39,T39)</f>
        <v>36.905000000000001</v>
      </c>
      <c r="AB39" s="10" t="s">
        <v>90</v>
      </c>
    </row>
    <row r="40" spans="1:28" x14ac:dyDescent="0.25">
      <c r="A40">
        <v>96</v>
      </c>
      <c r="B40" t="s">
        <v>64</v>
      </c>
      <c r="C40" t="s">
        <v>65</v>
      </c>
      <c r="D40" t="s">
        <v>12</v>
      </c>
      <c r="E40" t="s">
        <v>3</v>
      </c>
      <c r="F40" s="1">
        <v>44980</v>
      </c>
      <c r="G40" s="1">
        <v>45113</v>
      </c>
      <c r="H40">
        <f t="shared" si="0"/>
        <v>133</v>
      </c>
      <c r="I40" t="s">
        <v>38</v>
      </c>
      <c r="J40">
        <v>30</v>
      </c>
      <c r="K40">
        <v>250</v>
      </c>
      <c r="L40">
        <v>1</v>
      </c>
      <c r="M40">
        <v>6</v>
      </c>
      <c r="N40">
        <v>5</v>
      </c>
      <c r="O40" s="2">
        <v>28.21</v>
      </c>
      <c r="P40" s="3">
        <v>0.94540000000000002</v>
      </c>
      <c r="Q40" s="4">
        <v>0.48844907407407401</v>
      </c>
      <c r="R40" s="4">
        <v>0.73541666666666661</v>
      </c>
      <c r="T40" s="13">
        <v>36.9</v>
      </c>
      <c r="U40" s="10">
        <v>36.933</v>
      </c>
      <c r="V40" s="2">
        <f>U40-T40</f>
        <v>3.3000000000001251E-2</v>
      </c>
      <c r="W40" s="2" t="str">
        <f t="shared" si="10"/>
        <v>5:55:38</v>
      </c>
      <c r="X40" s="10">
        <v>7.6999999999999996E-4</v>
      </c>
      <c r="Y40" s="12">
        <f>U40-X40</f>
        <v>36.932229999999997</v>
      </c>
      <c r="Z40" s="10">
        <f>Y40-T40</f>
        <v>3.2229999999998427E-2</v>
      </c>
      <c r="AA40" s="10">
        <f>AVERAGE(Y40,T40)</f>
        <v>36.916114999999998</v>
      </c>
      <c r="AB40" s="10" t="s">
        <v>90</v>
      </c>
    </row>
    <row r="41" spans="1:28" x14ac:dyDescent="0.25">
      <c r="A41">
        <v>96</v>
      </c>
      <c r="B41" t="s">
        <v>64</v>
      </c>
      <c r="C41" t="s">
        <v>65</v>
      </c>
      <c r="D41" t="s">
        <v>12</v>
      </c>
      <c r="E41" t="s">
        <v>3</v>
      </c>
      <c r="F41" s="1">
        <v>44980</v>
      </c>
      <c r="G41" s="1">
        <v>45121</v>
      </c>
      <c r="H41">
        <f t="shared" si="0"/>
        <v>141</v>
      </c>
      <c r="J41">
        <v>30</v>
      </c>
      <c r="K41">
        <v>233</v>
      </c>
      <c r="L41">
        <v>2</v>
      </c>
      <c r="O41" s="2">
        <v>34.49</v>
      </c>
      <c r="P41" s="3">
        <v>1.5760000000000001</v>
      </c>
      <c r="Q41" s="4">
        <v>0.47916666666666669</v>
      </c>
      <c r="R41" s="4">
        <v>0.73402777777777783</v>
      </c>
      <c r="S41" s="2"/>
      <c r="T41" s="13"/>
      <c r="V41" s="10"/>
      <c r="W41" s="2" t="str">
        <f t="shared" si="10"/>
        <v>6:07:00</v>
      </c>
      <c r="Y41" s="12"/>
      <c r="AA41" s="10">
        <v>36.93</v>
      </c>
      <c r="AB41" s="10" t="s">
        <v>91</v>
      </c>
    </row>
    <row r="42" spans="1:28" x14ac:dyDescent="0.25">
      <c r="A42">
        <v>96</v>
      </c>
      <c r="B42" t="s">
        <v>64</v>
      </c>
      <c r="C42" t="s">
        <v>65</v>
      </c>
      <c r="D42" t="s">
        <v>12</v>
      </c>
      <c r="E42" t="s">
        <v>3</v>
      </c>
      <c r="F42" s="1">
        <v>44980</v>
      </c>
      <c r="G42" s="1">
        <v>45121</v>
      </c>
      <c r="H42">
        <f t="shared" si="0"/>
        <v>141</v>
      </c>
      <c r="J42">
        <v>31.5</v>
      </c>
      <c r="K42">
        <v>157</v>
      </c>
      <c r="L42">
        <v>1</v>
      </c>
      <c r="O42" s="2">
        <v>33.950000000000003</v>
      </c>
      <c r="P42" s="3">
        <v>1.7159</v>
      </c>
      <c r="Q42" s="4">
        <v>0.47916666666666702</v>
      </c>
      <c r="R42" s="4">
        <v>0.73402777777777783</v>
      </c>
      <c r="S42" s="2"/>
      <c r="T42" s="13"/>
      <c r="V42" s="10"/>
      <c r="W42" s="2" t="str">
        <f t="shared" si="10"/>
        <v>6:07:00</v>
      </c>
      <c r="Y42" s="12"/>
      <c r="AA42" s="10">
        <v>36.93</v>
      </c>
      <c r="AB42" s="10" t="s">
        <v>91</v>
      </c>
    </row>
    <row r="43" spans="1:28" x14ac:dyDescent="0.25">
      <c r="A43">
        <v>99</v>
      </c>
      <c r="B43" t="s">
        <v>57</v>
      </c>
      <c r="C43" t="s">
        <v>58</v>
      </c>
      <c r="D43" t="s">
        <v>12</v>
      </c>
      <c r="E43" t="s">
        <v>3</v>
      </c>
      <c r="F43" s="1">
        <v>44980</v>
      </c>
      <c r="G43" s="1">
        <v>45112</v>
      </c>
      <c r="H43">
        <f t="shared" si="0"/>
        <v>132</v>
      </c>
      <c r="J43">
        <v>31.5</v>
      </c>
      <c r="K43">
        <v>324</v>
      </c>
      <c r="L43">
        <v>2</v>
      </c>
      <c r="O43" s="2">
        <v>36.119999999999997</v>
      </c>
      <c r="P43" s="3">
        <v>1.8134999999999999</v>
      </c>
      <c r="Q43" s="4">
        <v>0.54166666666666696</v>
      </c>
      <c r="R43" s="4">
        <v>0.7944444444444444</v>
      </c>
      <c r="S43" s="2"/>
      <c r="T43" s="13"/>
      <c r="V43" s="10"/>
      <c r="W43" s="2" t="str">
        <f t="shared" si="10"/>
        <v>6:04:00</v>
      </c>
      <c r="Y43" s="12"/>
      <c r="AA43" s="10">
        <v>36.950000000000003</v>
      </c>
      <c r="AB43" s="10" t="s">
        <v>91</v>
      </c>
    </row>
    <row r="44" spans="1:28" x14ac:dyDescent="0.25">
      <c r="A44">
        <v>108</v>
      </c>
      <c r="B44" t="s">
        <v>62</v>
      </c>
      <c r="C44" t="s">
        <v>63</v>
      </c>
      <c r="D44" t="s">
        <v>12</v>
      </c>
      <c r="E44" t="s">
        <v>3</v>
      </c>
      <c r="F44" s="1">
        <v>44990</v>
      </c>
      <c r="G44" s="1">
        <v>45113</v>
      </c>
      <c r="H44">
        <f t="shared" si="0"/>
        <v>123</v>
      </c>
      <c r="J44">
        <v>28.5</v>
      </c>
      <c r="K44">
        <v>236</v>
      </c>
      <c r="L44">
        <v>1</v>
      </c>
      <c r="O44" s="2">
        <v>33.65</v>
      </c>
      <c r="P44" s="3">
        <v>1.5509999999999999</v>
      </c>
      <c r="Q44" s="4">
        <v>0.48844907407407401</v>
      </c>
      <c r="R44" s="4">
        <v>0.73402777777777783</v>
      </c>
      <c r="S44" s="2"/>
      <c r="T44" s="13"/>
      <c r="V44" s="10"/>
      <c r="W44" s="2" t="str">
        <f t="shared" si="10"/>
        <v>5:53:38</v>
      </c>
      <c r="Y44" s="12"/>
      <c r="AA44" s="10">
        <v>36.950000000000003</v>
      </c>
      <c r="AB44" s="10" t="s">
        <v>91</v>
      </c>
    </row>
    <row r="45" spans="1:28" x14ac:dyDescent="0.25">
      <c r="A45">
        <v>108</v>
      </c>
      <c r="B45" t="s">
        <v>62</v>
      </c>
      <c r="C45" t="s">
        <v>63</v>
      </c>
      <c r="D45" t="s">
        <v>12</v>
      </c>
      <c r="E45" t="s">
        <v>3</v>
      </c>
      <c r="F45" s="1">
        <v>44990</v>
      </c>
      <c r="G45" s="1">
        <v>45113</v>
      </c>
      <c r="H45">
        <f t="shared" si="0"/>
        <v>123</v>
      </c>
      <c r="J45">
        <v>30</v>
      </c>
      <c r="K45">
        <v>354</v>
      </c>
      <c r="L45">
        <v>1</v>
      </c>
      <c r="O45" s="2">
        <v>35.35</v>
      </c>
      <c r="P45" s="3">
        <v>1.8263</v>
      </c>
      <c r="Q45" s="4">
        <v>0.48844907407407401</v>
      </c>
      <c r="R45" s="4">
        <v>0.73402777777777783</v>
      </c>
      <c r="S45" s="2"/>
      <c r="T45" s="13"/>
      <c r="V45" s="10"/>
      <c r="W45" s="2" t="str">
        <f t="shared" si="10"/>
        <v>5:53:38</v>
      </c>
      <c r="Y45" s="12"/>
      <c r="AA45" s="10">
        <v>36.950000000000003</v>
      </c>
      <c r="AB45" s="10" t="s">
        <v>91</v>
      </c>
    </row>
    <row r="46" spans="1:28" x14ac:dyDescent="0.25">
      <c r="A46">
        <v>99</v>
      </c>
      <c r="B46" t="s">
        <v>57</v>
      </c>
      <c r="C46" t="s">
        <v>58</v>
      </c>
      <c r="D46" t="s">
        <v>12</v>
      </c>
      <c r="E46" t="s">
        <v>3</v>
      </c>
      <c r="F46" s="1">
        <v>44980</v>
      </c>
      <c r="G46" s="1">
        <v>45120</v>
      </c>
      <c r="H46">
        <f t="shared" si="0"/>
        <v>140</v>
      </c>
      <c r="I46" t="s">
        <v>36</v>
      </c>
      <c r="J46">
        <v>28.5</v>
      </c>
      <c r="K46">
        <v>342</v>
      </c>
      <c r="L46">
        <v>2</v>
      </c>
      <c r="M46">
        <v>4</v>
      </c>
      <c r="N46">
        <v>3</v>
      </c>
      <c r="O46" s="2">
        <v>31.87</v>
      </c>
      <c r="P46" s="3">
        <v>1.4117999999999999</v>
      </c>
      <c r="Q46" s="4">
        <v>0.493229166666667</v>
      </c>
      <c r="R46" s="4">
        <v>0.74236111111111114</v>
      </c>
      <c r="T46" s="13"/>
      <c r="U46" s="10">
        <v>36.987000000000002</v>
      </c>
      <c r="V46" s="2"/>
      <c r="W46" s="2" t="str">
        <f t="shared" si="10"/>
        <v>5:58:45</v>
      </c>
      <c r="X46" s="10">
        <v>1.7999999999999999E-2</v>
      </c>
      <c r="Y46" s="12">
        <f t="shared" ref="Y46:Y51" si="11">U46-X46</f>
        <v>36.969000000000001</v>
      </c>
      <c r="AA46" s="10">
        <f t="shared" ref="AA46:AA51" si="12">AVERAGE(Y46,T46)</f>
        <v>36.969000000000001</v>
      </c>
      <c r="AB46" s="10" t="s">
        <v>90</v>
      </c>
    </row>
    <row r="47" spans="1:28" x14ac:dyDescent="0.25">
      <c r="A47">
        <v>99</v>
      </c>
      <c r="B47" t="s">
        <v>57</v>
      </c>
      <c r="C47" t="s">
        <v>58</v>
      </c>
      <c r="D47" t="s">
        <v>12</v>
      </c>
      <c r="E47" t="s">
        <v>3</v>
      </c>
      <c r="F47" s="1">
        <v>44980</v>
      </c>
      <c r="G47" s="1">
        <v>45120</v>
      </c>
      <c r="H47">
        <f t="shared" si="0"/>
        <v>140</v>
      </c>
      <c r="I47" t="s">
        <v>36</v>
      </c>
      <c r="J47">
        <v>28.5</v>
      </c>
      <c r="K47">
        <v>342</v>
      </c>
      <c r="L47">
        <v>2</v>
      </c>
      <c r="M47">
        <v>4</v>
      </c>
      <c r="N47">
        <v>4</v>
      </c>
      <c r="O47" s="2">
        <v>34.06</v>
      </c>
      <c r="P47" s="3">
        <v>1.6483000000000001</v>
      </c>
      <c r="Q47" s="4">
        <v>0.493229166666667</v>
      </c>
      <c r="R47" s="4">
        <v>0.74236111111111114</v>
      </c>
      <c r="T47" s="13"/>
      <c r="U47" s="10">
        <v>36.987000000000002</v>
      </c>
      <c r="V47" s="2"/>
      <c r="W47" s="2" t="str">
        <f t="shared" si="10"/>
        <v>5:58:45</v>
      </c>
      <c r="X47" s="10">
        <v>1.7999999999999999E-2</v>
      </c>
      <c r="Y47" s="12">
        <f t="shared" si="11"/>
        <v>36.969000000000001</v>
      </c>
      <c r="AA47" s="10">
        <f t="shared" si="12"/>
        <v>36.969000000000001</v>
      </c>
      <c r="AB47" s="10" t="s">
        <v>90</v>
      </c>
    </row>
    <row r="48" spans="1:28" x14ac:dyDescent="0.25">
      <c r="A48">
        <v>99</v>
      </c>
      <c r="B48" t="s">
        <v>57</v>
      </c>
      <c r="C48" t="s">
        <v>58</v>
      </c>
      <c r="D48" t="s">
        <v>12</v>
      </c>
      <c r="E48" t="s">
        <v>3</v>
      </c>
      <c r="F48" s="1">
        <v>44980</v>
      </c>
      <c r="G48" s="1">
        <v>45120</v>
      </c>
      <c r="H48">
        <f t="shared" si="0"/>
        <v>140</v>
      </c>
      <c r="I48" t="s">
        <v>37</v>
      </c>
      <c r="J48">
        <v>30</v>
      </c>
      <c r="K48">
        <v>234</v>
      </c>
      <c r="L48">
        <v>2</v>
      </c>
      <c r="M48">
        <v>4</v>
      </c>
      <c r="N48">
        <v>1</v>
      </c>
      <c r="O48" s="2">
        <v>29.31</v>
      </c>
      <c r="P48" s="3">
        <v>1.0072000000000001</v>
      </c>
      <c r="Q48" s="4">
        <v>0.493229166666667</v>
      </c>
      <c r="R48" s="4">
        <v>0.74375000000000002</v>
      </c>
      <c r="T48" s="13"/>
      <c r="U48" s="10">
        <v>36.987000000000002</v>
      </c>
      <c r="V48" s="2"/>
      <c r="W48" s="2" t="str">
        <f t="shared" si="10"/>
        <v>6:00:45</v>
      </c>
      <c r="X48" s="10">
        <v>1.7999999999999999E-2</v>
      </c>
      <c r="Y48" s="12">
        <f t="shared" si="11"/>
        <v>36.969000000000001</v>
      </c>
      <c r="AA48" s="10">
        <f t="shared" si="12"/>
        <v>36.969000000000001</v>
      </c>
      <c r="AB48" s="10" t="s">
        <v>90</v>
      </c>
    </row>
    <row r="49" spans="1:29" x14ac:dyDescent="0.25">
      <c r="A49">
        <v>99</v>
      </c>
      <c r="B49" t="s">
        <v>57</v>
      </c>
      <c r="C49" t="s">
        <v>58</v>
      </c>
      <c r="D49" t="s">
        <v>12</v>
      </c>
      <c r="E49" t="s">
        <v>3</v>
      </c>
      <c r="F49" s="1">
        <v>44980</v>
      </c>
      <c r="G49" s="1">
        <v>45120</v>
      </c>
      <c r="H49">
        <f t="shared" si="0"/>
        <v>140</v>
      </c>
      <c r="I49" t="s">
        <v>37</v>
      </c>
      <c r="J49">
        <v>30</v>
      </c>
      <c r="K49">
        <v>234</v>
      </c>
      <c r="L49">
        <v>2</v>
      </c>
      <c r="M49">
        <v>4</v>
      </c>
      <c r="N49">
        <v>4</v>
      </c>
      <c r="O49" s="2">
        <v>32.26</v>
      </c>
      <c r="P49" s="3">
        <v>1.4271</v>
      </c>
      <c r="Q49" s="4">
        <v>0.493229166666667</v>
      </c>
      <c r="R49" s="4">
        <v>0.74375000000000002</v>
      </c>
      <c r="T49" s="13"/>
      <c r="U49" s="10">
        <v>36.987000000000002</v>
      </c>
      <c r="V49" s="2"/>
      <c r="W49" s="2" t="str">
        <f t="shared" si="10"/>
        <v>6:00:45</v>
      </c>
      <c r="X49" s="10">
        <v>1.7999999999999999E-2</v>
      </c>
      <c r="Y49" s="12">
        <f t="shared" si="11"/>
        <v>36.969000000000001</v>
      </c>
      <c r="AA49" s="10">
        <f t="shared" si="12"/>
        <v>36.969000000000001</v>
      </c>
      <c r="AB49" s="10" t="s">
        <v>90</v>
      </c>
    </row>
    <row r="50" spans="1:29" x14ac:dyDescent="0.25">
      <c r="A50">
        <v>99</v>
      </c>
      <c r="B50" t="s">
        <v>57</v>
      </c>
      <c r="C50" t="s">
        <v>58</v>
      </c>
      <c r="D50" t="s">
        <v>12</v>
      </c>
      <c r="E50" t="s">
        <v>3</v>
      </c>
      <c r="F50" s="1">
        <v>44980</v>
      </c>
      <c r="G50" s="1">
        <v>45120</v>
      </c>
      <c r="H50">
        <f t="shared" si="0"/>
        <v>140</v>
      </c>
      <c r="I50" t="s">
        <v>38</v>
      </c>
      <c r="J50">
        <v>31.5</v>
      </c>
      <c r="K50">
        <v>258</v>
      </c>
      <c r="L50">
        <v>1</v>
      </c>
      <c r="M50">
        <v>4</v>
      </c>
      <c r="N50">
        <v>4</v>
      </c>
      <c r="O50" s="2">
        <v>33.71</v>
      </c>
      <c r="P50" s="3">
        <v>1.6623000000000001</v>
      </c>
      <c r="Q50" s="4">
        <v>0.493229166666667</v>
      </c>
      <c r="R50" s="4">
        <v>0.74375000000000002</v>
      </c>
      <c r="T50" s="13"/>
      <c r="U50" s="10">
        <v>36.987000000000002</v>
      </c>
      <c r="V50" s="2"/>
      <c r="W50" s="2" t="str">
        <f t="shared" si="10"/>
        <v>6:00:45</v>
      </c>
      <c r="X50" s="10">
        <v>1.7999999999999999E-2</v>
      </c>
      <c r="Y50" s="12">
        <f t="shared" si="11"/>
        <v>36.969000000000001</v>
      </c>
      <c r="AA50" s="10">
        <f t="shared" si="12"/>
        <v>36.969000000000001</v>
      </c>
      <c r="AB50" s="10" t="s">
        <v>90</v>
      </c>
    </row>
    <row r="51" spans="1:29" x14ac:dyDescent="0.25">
      <c r="A51">
        <v>99</v>
      </c>
      <c r="B51" t="s">
        <v>57</v>
      </c>
      <c r="C51" t="s">
        <v>58</v>
      </c>
      <c r="D51" t="s">
        <v>12</v>
      </c>
      <c r="E51" t="s">
        <v>3</v>
      </c>
      <c r="F51" s="1">
        <v>44980</v>
      </c>
      <c r="G51" s="1">
        <v>45120</v>
      </c>
      <c r="H51">
        <f t="shared" si="0"/>
        <v>140</v>
      </c>
      <c r="I51" t="s">
        <v>38</v>
      </c>
      <c r="J51">
        <v>31.5</v>
      </c>
      <c r="K51">
        <v>258</v>
      </c>
      <c r="L51">
        <v>1</v>
      </c>
      <c r="M51">
        <v>4</v>
      </c>
      <c r="N51">
        <v>3</v>
      </c>
      <c r="O51" s="2">
        <v>34.31</v>
      </c>
      <c r="P51" s="3">
        <v>1.7537</v>
      </c>
      <c r="Q51" s="4">
        <v>0.493229166666667</v>
      </c>
      <c r="R51" s="4">
        <v>0.74375000000000002</v>
      </c>
      <c r="T51" s="13"/>
      <c r="U51" s="10">
        <v>36.987000000000002</v>
      </c>
      <c r="V51" s="2"/>
      <c r="W51" s="2" t="str">
        <f t="shared" si="10"/>
        <v>6:00:45</v>
      </c>
      <c r="X51" s="10">
        <v>1.7999999999999999E-2</v>
      </c>
      <c r="Y51" s="12">
        <f t="shared" si="11"/>
        <v>36.969000000000001</v>
      </c>
      <c r="AA51" s="10">
        <f t="shared" si="12"/>
        <v>36.969000000000001</v>
      </c>
      <c r="AB51" s="10" t="s">
        <v>90</v>
      </c>
    </row>
    <row r="52" spans="1:29" x14ac:dyDescent="0.25">
      <c r="A52">
        <v>108</v>
      </c>
      <c r="B52" t="s">
        <v>62</v>
      </c>
      <c r="C52" t="s">
        <v>63</v>
      </c>
      <c r="D52" t="s">
        <v>12</v>
      </c>
      <c r="E52" t="s">
        <v>3</v>
      </c>
      <c r="F52" s="1">
        <v>44990</v>
      </c>
      <c r="G52" s="1">
        <v>45113</v>
      </c>
      <c r="H52">
        <f t="shared" si="0"/>
        <v>123</v>
      </c>
      <c r="J52">
        <v>30</v>
      </c>
      <c r="K52">
        <v>354</v>
      </c>
      <c r="L52">
        <v>1</v>
      </c>
      <c r="O52" s="2">
        <v>28.76</v>
      </c>
      <c r="P52" s="3">
        <v>0.95189999999999997</v>
      </c>
      <c r="Q52" s="4">
        <v>0.48844907407407401</v>
      </c>
      <c r="R52" s="4">
        <v>0.73402777777777783</v>
      </c>
      <c r="S52" s="2"/>
      <c r="T52" s="13"/>
      <c r="V52" s="10"/>
      <c r="W52" s="2" t="str">
        <f t="shared" si="10"/>
        <v>5:53:38</v>
      </c>
      <c r="Y52" s="12"/>
      <c r="AA52" s="10">
        <v>36.97</v>
      </c>
      <c r="AB52" s="10" t="s">
        <v>91</v>
      </c>
    </row>
    <row r="53" spans="1:29" x14ac:dyDescent="0.25">
      <c r="A53">
        <v>96</v>
      </c>
      <c r="B53" t="s">
        <v>64</v>
      </c>
      <c r="C53" t="s">
        <v>65</v>
      </c>
      <c r="D53" t="s">
        <v>12</v>
      </c>
      <c r="E53" t="s">
        <v>3</v>
      </c>
      <c r="F53" s="1">
        <v>44980</v>
      </c>
      <c r="G53" s="1">
        <v>45119</v>
      </c>
      <c r="H53">
        <f t="shared" si="0"/>
        <v>139</v>
      </c>
      <c r="I53" t="s">
        <v>38</v>
      </c>
      <c r="J53">
        <v>28.5</v>
      </c>
      <c r="K53">
        <v>238</v>
      </c>
      <c r="L53">
        <v>2</v>
      </c>
      <c r="M53">
        <v>6</v>
      </c>
      <c r="N53">
        <v>2</v>
      </c>
      <c r="O53" s="2">
        <v>38.200000000000003</v>
      </c>
      <c r="P53" s="3">
        <v>2.2029000000000001</v>
      </c>
      <c r="Q53" s="4">
        <v>0.50962962962962999</v>
      </c>
      <c r="R53" s="4">
        <v>0.76388888888888884</v>
      </c>
      <c r="T53" s="13">
        <v>37</v>
      </c>
      <c r="U53" s="10">
        <v>36.987000000000002</v>
      </c>
      <c r="V53" s="2">
        <f>U53-T53</f>
        <v>-1.2999999999998124E-2</v>
      </c>
      <c r="W53" s="2" t="str">
        <f t="shared" si="10"/>
        <v>6:06:08</v>
      </c>
      <c r="X53" s="10">
        <v>0.01</v>
      </c>
      <c r="Y53" s="12">
        <f>U53-X53</f>
        <v>36.977000000000004</v>
      </c>
      <c r="Z53" s="10">
        <f>Y53-T53</f>
        <v>-2.2999999999996135E-2</v>
      </c>
      <c r="AA53" s="10">
        <f t="shared" ref="AA53:AA70" si="13">AVERAGE(Y53,T53)</f>
        <v>36.988500000000002</v>
      </c>
      <c r="AB53" s="10" t="s">
        <v>90</v>
      </c>
    </row>
    <row r="54" spans="1:29" x14ac:dyDescent="0.25">
      <c r="A54">
        <v>96</v>
      </c>
      <c r="B54" t="s">
        <v>64</v>
      </c>
      <c r="C54" t="s">
        <v>65</v>
      </c>
      <c r="D54" t="s">
        <v>12</v>
      </c>
      <c r="E54" t="s">
        <v>3</v>
      </c>
      <c r="F54" s="1">
        <v>44980</v>
      </c>
      <c r="G54" s="1">
        <v>45119</v>
      </c>
      <c r="H54">
        <f t="shared" si="0"/>
        <v>139</v>
      </c>
      <c r="I54" t="s">
        <v>37</v>
      </c>
      <c r="J54">
        <v>30</v>
      </c>
      <c r="K54">
        <v>233</v>
      </c>
      <c r="L54">
        <v>2</v>
      </c>
      <c r="M54">
        <v>6</v>
      </c>
      <c r="N54">
        <v>2</v>
      </c>
      <c r="O54" s="2">
        <v>26.36</v>
      </c>
      <c r="P54" s="3">
        <v>0.75970000000000004</v>
      </c>
      <c r="Q54" s="4">
        <v>0.50962962962962999</v>
      </c>
      <c r="R54" s="4">
        <v>0.76388888888888884</v>
      </c>
      <c r="T54" s="13">
        <v>37</v>
      </c>
      <c r="U54" s="10">
        <v>36.987000000000002</v>
      </c>
      <c r="V54" s="2">
        <f>U54-T54</f>
        <v>-1.2999999999998124E-2</v>
      </c>
      <c r="W54" s="2" t="str">
        <f t="shared" si="10"/>
        <v>6:06:08</v>
      </c>
      <c r="X54" s="10">
        <v>0.01</v>
      </c>
      <c r="Y54" s="12">
        <f>U54-X54</f>
        <v>36.977000000000004</v>
      </c>
      <c r="Z54" s="10">
        <f>Y54-T54</f>
        <v>-2.2999999999996135E-2</v>
      </c>
      <c r="AA54" s="10">
        <f t="shared" si="13"/>
        <v>36.988500000000002</v>
      </c>
      <c r="AB54" s="10" t="s">
        <v>90</v>
      </c>
    </row>
    <row r="55" spans="1:29" x14ac:dyDescent="0.25">
      <c r="A55">
        <v>96</v>
      </c>
      <c r="B55" t="s">
        <v>64</v>
      </c>
      <c r="C55" t="s">
        <v>65</v>
      </c>
      <c r="D55" t="s">
        <v>12</v>
      </c>
      <c r="E55" t="s">
        <v>3</v>
      </c>
      <c r="F55" s="1">
        <v>44980</v>
      </c>
      <c r="G55" s="1">
        <v>45119</v>
      </c>
      <c r="H55">
        <f t="shared" si="0"/>
        <v>139</v>
      </c>
      <c r="I55" t="s">
        <v>37</v>
      </c>
      <c r="J55">
        <v>30</v>
      </c>
      <c r="K55">
        <v>233</v>
      </c>
      <c r="L55">
        <v>2</v>
      </c>
      <c r="M55">
        <v>6</v>
      </c>
      <c r="N55">
        <v>3</v>
      </c>
      <c r="O55" s="2">
        <v>34.44</v>
      </c>
      <c r="P55" s="3">
        <v>1.5989</v>
      </c>
      <c r="Q55" s="4">
        <v>0.50962962962962999</v>
      </c>
      <c r="R55" s="4">
        <v>0.76388888888888884</v>
      </c>
      <c r="T55" s="13">
        <v>37</v>
      </c>
      <c r="U55" s="10">
        <v>36.987000000000002</v>
      </c>
      <c r="V55" s="2">
        <f>U55-T55</f>
        <v>-1.2999999999998124E-2</v>
      </c>
      <c r="W55" s="2" t="str">
        <f t="shared" si="10"/>
        <v>6:06:08</v>
      </c>
      <c r="X55" s="10">
        <v>0.01</v>
      </c>
      <c r="Y55" s="12">
        <f>U55-X55</f>
        <v>36.977000000000004</v>
      </c>
      <c r="Z55" s="10">
        <f>Y55-T55</f>
        <v>-2.2999999999996135E-2</v>
      </c>
      <c r="AA55" s="10">
        <f t="shared" si="13"/>
        <v>36.988500000000002</v>
      </c>
      <c r="AB55" s="10" t="s">
        <v>90</v>
      </c>
    </row>
    <row r="56" spans="1:29" x14ac:dyDescent="0.25">
      <c r="A56">
        <v>96</v>
      </c>
      <c r="B56" t="s">
        <v>64</v>
      </c>
      <c r="C56" t="s">
        <v>65</v>
      </c>
      <c r="D56" t="s">
        <v>12</v>
      </c>
      <c r="E56" t="s">
        <v>3</v>
      </c>
      <c r="F56" s="1">
        <v>44980</v>
      </c>
      <c r="G56" s="1">
        <v>45113</v>
      </c>
      <c r="H56">
        <f t="shared" si="0"/>
        <v>133</v>
      </c>
      <c r="I56" t="s">
        <v>38</v>
      </c>
      <c r="J56">
        <v>30</v>
      </c>
      <c r="K56">
        <v>250</v>
      </c>
      <c r="L56">
        <v>1</v>
      </c>
      <c r="M56">
        <v>6</v>
      </c>
      <c r="N56">
        <v>4</v>
      </c>
      <c r="O56" s="2">
        <v>27.7</v>
      </c>
      <c r="P56" s="3">
        <v>0.83069999999999999</v>
      </c>
      <c r="Q56" s="4">
        <v>0.48844907407407401</v>
      </c>
      <c r="R56" s="4">
        <v>0.73749999999999993</v>
      </c>
      <c r="T56" s="13">
        <v>37</v>
      </c>
      <c r="U56" s="10">
        <v>36.987000000000002</v>
      </c>
      <c r="V56" s="2">
        <f>U56-T56</f>
        <v>-1.2999999999998124E-2</v>
      </c>
      <c r="W56" s="2" t="str">
        <f t="shared" si="10"/>
        <v>5:58:38</v>
      </c>
      <c r="X56" s="10">
        <v>7.6999999999999996E-4</v>
      </c>
      <c r="Y56" s="12">
        <f>U56-X56</f>
        <v>36.986229999999999</v>
      </c>
      <c r="Z56" s="10">
        <f>Y56-T56</f>
        <v>-1.3770000000000948E-2</v>
      </c>
      <c r="AA56" s="10">
        <f t="shared" si="13"/>
        <v>36.993115000000003</v>
      </c>
      <c r="AB56" s="10" t="s">
        <v>90</v>
      </c>
    </row>
    <row r="57" spans="1:29" x14ac:dyDescent="0.25">
      <c r="A57">
        <v>108</v>
      </c>
      <c r="B57" t="s">
        <v>62</v>
      </c>
      <c r="C57" t="s">
        <v>63</v>
      </c>
      <c r="D57" t="s">
        <v>12</v>
      </c>
      <c r="E57" t="s">
        <v>3</v>
      </c>
      <c r="F57" s="1">
        <v>44990</v>
      </c>
      <c r="G57" s="1">
        <v>45113</v>
      </c>
      <c r="H57">
        <f t="shared" si="0"/>
        <v>123</v>
      </c>
      <c r="I57" t="s">
        <v>38</v>
      </c>
      <c r="J57">
        <v>30</v>
      </c>
      <c r="K57">
        <v>354</v>
      </c>
      <c r="L57">
        <v>1</v>
      </c>
      <c r="M57">
        <v>4</v>
      </c>
      <c r="N57">
        <v>3</v>
      </c>
      <c r="O57" s="2">
        <v>31.16</v>
      </c>
      <c r="P57" s="3">
        <v>1.2505999999999999</v>
      </c>
      <c r="Q57" s="4">
        <v>0.48844907407407401</v>
      </c>
      <c r="R57" s="4">
        <v>0.73888888888888893</v>
      </c>
      <c r="T57" s="13">
        <v>36.950000000000003</v>
      </c>
      <c r="U57" s="10">
        <v>37.015000000000001</v>
      </c>
      <c r="V57" s="2">
        <f>U57-T57</f>
        <v>6.4999999999997726E-2</v>
      </c>
      <c r="W57" s="2" t="str">
        <f t="shared" si="10"/>
        <v>6:00:38</v>
      </c>
      <c r="X57" s="10">
        <v>-2.92E-2</v>
      </c>
      <c r="Y57" s="12">
        <f>U57-X57</f>
        <v>37.044200000000004</v>
      </c>
      <c r="Z57" s="10">
        <f>Y57-T57</f>
        <v>9.4200000000000728E-2</v>
      </c>
      <c r="AA57" s="10">
        <f t="shared" si="13"/>
        <v>36.997100000000003</v>
      </c>
      <c r="AB57" s="10" t="s">
        <v>90</v>
      </c>
      <c r="AC57" t="s">
        <v>71</v>
      </c>
    </row>
    <row r="58" spans="1:29" x14ac:dyDescent="0.25">
      <c r="A58">
        <v>56</v>
      </c>
      <c r="B58" t="s">
        <v>49</v>
      </c>
      <c r="C58" t="s">
        <v>50</v>
      </c>
      <c r="D58" t="s">
        <v>12</v>
      </c>
      <c r="E58" t="s">
        <v>3</v>
      </c>
      <c r="F58" s="1">
        <v>44938</v>
      </c>
      <c r="G58" s="1">
        <v>45078</v>
      </c>
      <c r="H58">
        <f t="shared" si="0"/>
        <v>140</v>
      </c>
      <c r="I58" t="s">
        <v>38</v>
      </c>
      <c r="J58">
        <v>28.5</v>
      </c>
      <c r="K58">
        <v>137</v>
      </c>
      <c r="L58">
        <v>2</v>
      </c>
      <c r="M58">
        <v>4</v>
      </c>
      <c r="N58">
        <v>5</v>
      </c>
      <c r="O58" s="2">
        <v>32.49</v>
      </c>
      <c r="P58" s="3">
        <v>1.2557</v>
      </c>
      <c r="Q58" s="4">
        <v>0.51203703703703696</v>
      </c>
      <c r="R58" s="4">
        <v>0.7680555555555556</v>
      </c>
      <c r="S58" s="2">
        <f>AVERAGE(T58:U58)</f>
        <v>37</v>
      </c>
      <c r="T58" s="13">
        <v>37</v>
      </c>
      <c r="V58" s="2"/>
      <c r="W58" s="2" t="str">
        <f t="shared" si="10"/>
        <v>6:08:40</v>
      </c>
      <c r="Y58" s="12"/>
      <c r="AA58" s="10">
        <f t="shared" si="13"/>
        <v>37</v>
      </c>
      <c r="AB58" s="10" t="s">
        <v>90</v>
      </c>
    </row>
    <row r="59" spans="1:29" x14ac:dyDescent="0.25">
      <c r="A59">
        <v>56</v>
      </c>
      <c r="B59" t="s">
        <v>49</v>
      </c>
      <c r="C59" t="s">
        <v>50</v>
      </c>
      <c r="D59" t="s">
        <v>12</v>
      </c>
      <c r="E59" t="s">
        <v>3</v>
      </c>
      <c r="F59" s="1">
        <v>44938</v>
      </c>
      <c r="G59" s="1">
        <v>45078</v>
      </c>
      <c r="H59">
        <f t="shared" si="0"/>
        <v>140</v>
      </c>
      <c r="I59" t="s">
        <v>38</v>
      </c>
      <c r="J59">
        <v>28.5</v>
      </c>
      <c r="K59">
        <v>137</v>
      </c>
      <c r="L59">
        <v>2</v>
      </c>
      <c r="M59">
        <v>4</v>
      </c>
      <c r="N59">
        <v>2</v>
      </c>
      <c r="O59" s="2">
        <v>38.75</v>
      </c>
      <c r="P59" s="3">
        <v>1.9398</v>
      </c>
      <c r="Q59" s="4">
        <v>0.51203703703703696</v>
      </c>
      <c r="R59" s="4">
        <v>0.7680555555555556</v>
      </c>
      <c r="S59" s="2">
        <f>AVERAGE(T59:U59)</f>
        <v>37</v>
      </c>
      <c r="T59" s="13">
        <v>37</v>
      </c>
      <c r="V59" s="2"/>
      <c r="W59" s="2" t="str">
        <f t="shared" si="10"/>
        <v>6:08:40</v>
      </c>
      <c r="Y59" s="12"/>
      <c r="AA59" s="10">
        <f t="shared" si="13"/>
        <v>37</v>
      </c>
      <c r="AB59" s="10" t="s">
        <v>90</v>
      </c>
    </row>
    <row r="60" spans="1:29" x14ac:dyDescent="0.25">
      <c r="A60">
        <v>99</v>
      </c>
      <c r="B60" t="s">
        <v>57</v>
      </c>
      <c r="C60" t="s">
        <v>58</v>
      </c>
      <c r="D60" t="s">
        <v>12</v>
      </c>
      <c r="E60" t="s">
        <v>3</v>
      </c>
      <c r="F60" s="1">
        <v>44980</v>
      </c>
      <c r="G60" s="1">
        <v>45113</v>
      </c>
      <c r="H60">
        <f t="shared" si="0"/>
        <v>133</v>
      </c>
      <c r="I60" t="s">
        <v>38</v>
      </c>
      <c r="J60">
        <v>30</v>
      </c>
      <c r="K60">
        <v>234</v>
      </c>
      <c r="L60">
        <v>1</v>
      </c>
      <c r="M60">
        <v>2</v>
      </c>
      <c r="N60">
        <v>3</v>
      </c>
      <c r="O60" s="2">
        <v>26.9</v>
      </c>
      <c r="P60" s="3">
        <v>0.80210000000000004</v>
      </c>
      <c r="Q60" s="4">
        <v>0.48844907407407401</v>
      </c>
      <c r="R60" s="4">
        <v>0.79305555555555562</v>
      </c>
      <c r="T60" s="13">
        <v>37</v>
      </c>
      <c r="U60" s="10">
        <v>37.015000000000001</v>
      </c>
      <c r="V60" s="2">
        <f>U60-T60</f>
        <v>1.5000000000000568E-2</v>
      </c>
      <c r="W60" s="2" t="str">
        <f t="shared" si="10"/>
        <v>7:18:38</v>
      </c>
      <c r="X60" s="10">
        <v>0.01</v>
      </c>
      <c r="Y60" s="12">
        <f t="shared" ref="Y60:Y70" si="14">U60-X60</f>
        <v>37.005000000000003</v>
      </c>
      <c r="Z60" s="10">
        <f>Y60-T60</f>
        <v>5.000000000002558E-3</v>
      </c>
      <c r="AA60" s="10">
        <f t="shared" si="13"/>
        <v>37.002499999999998</v>
      </c>
      <c r="AB60" s="10" t="s">
        <v>90</v>
      </c>
    </row>
    <row r="61" spans="1:29" x14ac:dyDescent="0.25">
      <c r="A61">
        <v>99</v>
      </c>
      <c r="B61" t="s">
        <v>57</v>
      </c>
      <c r="C61" t="s">
        <v>58</v>
      </c>
      <c r="D61" t="s">
        <v>12</v>
      </c>
      <c r="E61" t="s">
        <v>3</v>
      </c>
      <c r="F61" s="1">
        <v>44980</v>
      </c>
      <c r="G61" s="1">
        <v>45113</v>
      </c>
      <c r="H61">
        <f t="shared" si="0"/>
        <v>133</v>
      </c>
      <c r="I61" t="s">
        <v>38</v>
      </c>
      <c r="J61">
        <v>30</v>
      </c>
      <c r="K61">
        <v>234</v>
      </c>
      <c r="L61">
        <v>1</v>
      </c>
      <c r="M61">
        <v>2</v>
      </c>
      <c r="N61">
        <v>2</v>
      </c>
      <c r="O61" s="2">
        <v>36.1</v>
      </c>
      <c r="P61" s="3">
        <v>1.4685999999999999</v>
      </c>
      <c r="Q61" s="4">
        <v>0.48844907407407401</v>
      </c>
      <c r="R61" s="4">
        <v>0.79305555555555562</v>
      </c>
      <c r="T61" s="13">
        <v>37</v>
      </c>
      <c r="U61" s="10">
        <v>37.015000000000001</v>
      </c>
      <c r="V61" s="2">
        <f>U61-T61</f>
        <v>1.5000000000000568E-2</v>
      </c>
      <c r="W61" s="2" t="str">
        <f t="shared" si="10"/>
        <v>7:18:38</v>
      </c>
      <c r="X61" s="10">
        <v>0.01</v>
      </c>
      <c r="Y61" s="12">
        <f t="shared" si="14"/>
        <v>37.005000000000003</v>
      </c>
      <c r="Z61" s="10">
        <f>Y61-T61</f>
        <v>5.000000000002558E-3</v>
      </c>
      <c r="AA61" s="10">
        <f t="shared" si="13"/>
        <v>37.002499999999998</v>
      </c>
      <c r="AB61" s="10" t="s">
        <v>90</v>
      </c>
    </row>
    <row r="62" spans="1:29" x14ac:dyDescent="0.25">
      <c r="A62">
        <v>108</v>
      </c>
      <c r="B62" t="s">
        <v>62</v>
      </c>
      <c r="C62" t="s">
        <v>63</v>
      </c>
      <c r="D62" t="s">
        <v>12</v>
      </c>
      <c r="E62" t="s">
        <v>3</v>
      </c>
      <c r="F62" s="1">
        <v>44990</v>
      </c>
      <c r="G62" s="1">
        <v>45120</v>
      </c>
      <c r="H62">
        <f t="shared" si="0"/>
        <v>130</v>
      </c>
      <c r="I62" t="s">
        <v>37</v>
      </c>
      <c r="J62">
        <v>30</v>
      </c>
      <c r="K62">
        <v>330</v>
      </c>
      <c r="L62">
        <v>2</v>
      </c>
      <c r="M62">
        <v>3</v>
      </c>
      <c r="N62">
        <v>1</v>
      </c>
      <c r="O62" s="2">
        <v>34.549999999999997</v>
      </c>
      <c r="P62" s="3">
        <v>1.7946</v>
      </c>
      <c r="Q62" s="4">
        <v>0.493229166666667</v>
      </c>
      <c r="R62" s="4">
        <v>0.74305555555555547</v>
      </c>
      <c r="T62" s="13"/>
      <c r="U62" s="10">
        <v>37.042000000000002</v>
      </c>
      <c r="V62" s="2"/>
      <c r="W62" s="2" t="str">
        <f t="shared" si="10"/>
        <v>5:59:45</v>
      </c>
      <c r="X62" s="10">
        <v>2.3E-2</v>
      </c>
      <c r="Y62" s="12">
        <f t="shared" si="14"/>
        <v>37.018999999999998</v>
      </c>
      <c r="AA62" s="10">
        <f t="shared" si="13"/>
        <v>37.018999999999998</v>
      </c>
      <c r="AB62" s="10" t="s">
        <v>90</v>
      </c>
    </row>
    <row r="63" spans="1:29" x14ac:dyDescent="0.25">
      <c r="A63">
        <v>99</v>
      </c>
      <c r="B63" t="s">
        <v>57</v>
      </c>
      <c r="C63" t="s">
        <v>58</v>
      </c>
      <c r="D63" t="s">
        <v>12</v>
      </c>
      <c r="E63" t="s">
        <v>3</v>
      </c>
      <c r="F63" s="1">
        <v>44980</v>
      </c>
      <c r="G63" s="1">
        <v>45120</v>
      </c>
      <c r="H63">
        <f t="shared" si="0"/>
        <v>140</v>
      </c>
      <c r="I63" t="s">
        <v>38</v>
      </c>
      <c r="J63">
        <v>31.5</v>
      </c>
      <c r="K63">
        <v>258</v>
      </c>
      <c r="L63">
        <v>1</v>
      </c>
      <c r="M63">
        <v>4</v>
      </c>
      <c r="N63">
        <v>2</v>
      </c>
      <c r="O63" s="2">
        <v>38.799999999999997</v>
      </c>
      <c r="P63" s="3">
        <v>2.6425999999999998</v>
      </c>
      <c r="Q63" s="4">
        <v>0.493229166666667</v>
      </c>
      <c r="R63" s="4">
        <v>0.74722222222222223</v>
      </c>
      <c r="T63" s="13"/>
      <c r="U63" s="10">
        <v>37.042000000000002</v>
      </c>
      <c r="V63" s="2"/>
      <c r="W63" s="2" t="str">
        <f t="shared" si="10"/>
        <v>6:05:45</v>
      </c>
      <c r="X63" s="10">
        <v>1.7999999999999999E-2</v>
      </c>
      <c r="Y63" s="12">
        <f t="shared" si="14"/>
        <v>37.024000000000001</v>
      </c>
      <c r="AA63" s="10">
        <f t="shared" si="13"/>
        <v>37.024000000000001</v>
      </c>
      <c r="AB63" s="10" t="s">
        <v>90</v>
      </c>
    </row>
    <row r="64" spans="1:29" x14ac:dyDescent="0.25">
      <c r="A64">
        <v>99</v>
      </c>
      <c r="B64" t="s">
        <v>57</v>
      </c>
      <c r="C64" t="s">
        <v>58</v>
      </c>
      <c r="D64" t="s">
        <v>12</v>
      </c>
      <c r="E64" t="s">
        <v>3</v>
      </c>
      <c r="F64" s="1">
        <v>44980</v>
      </c>
      <c r="G64" s="1">
        <v>45113</v>
      </c>
      <c r="H64">
        <f t="shared" si="0"/>
        <v>133</v>
      </c>
      <c r="I64" t="s">
        <v>38</v>
      </c>
      <c r="J64">
        <v>30</v>
      </c>
      <c r="K64">
        <v>234</v>
      </c>
      <c r="L64">
        <v>1</v>
      </c>
      <c r="M64">
        <v>2</v>
      </c>
      <c r="N64">
        <v>1</v>
      </c>
      <c r="O64" s="2">
        <v>32.450000000000003</v>
      </c>
      <c r="P64" s="3">
        <v>1.4140999999999999</v>
      </c>
      <c r="Q64" s="4">
        <v>0.48844907407407401</v>
      </c>
      <c r="R64" s="4">
        <v>0.79652777777777783</v>
      </c>
      <c r="T64" s="13">
        <v>37</v>
      </c>
      <c r="U64" s="10">
        <v>37.069000000000003</v>
      </c>
      <c r="V64" s="2">
        <f>U64-T64</f>
        <v>6.9000000000002615E-2</v>
      </c>
      <c r="W64" s="2" t="str">
        <f t="shared" si="10"/>
        <v>7:23:38</v>
      </c>
      <c r="X64" s="10">
        <v>0.01</v>
      </c>
      <c r="Y64" s="12">
        <f t="shared" si="14"/>
        <v>37.059000000000005</v>
      </c>
      <c r="Z64" s="10">
        <f>Y64-T64</f>
        <v>5.9000000000004604E-2</v>
      </c>
      <c r="AA64" s="10">
        <f t="shared" si="13"/>
        <v>37.029499999999999</v>
      </c>
      <c r="AB64" s="10" t="s">
        <v>90</v>
      </c>
    </row>
    <row r="65" spans="1:29" x14ac:dyDescent="0.25">
      <c r="A65">
        <v>99</v>
      </c>
      <c r="B65" t="s">
        <v>57</v>
      </c>
      <c r="C65" t="s">
        <v>58</v>
      </c>
      <c r="D65" t="s">
        <v>12</v>
      </c>
      <c r="E65" t="s">
        <v>3</v>
      </c>
      <c r="F65" s="1">
        <v>44980</v>
      </c>
      <c r="G65" s="1">
        <v>45120</v>
      </c>
      <c r="H65">
        <f t="shared" si="0"/>
        <v>140</v>
      </c>
      <c r="I65" t="s">
        <v>37</v>
      </c>
      <c r="J65">
        <v>30</v>
      </c>
      <c r="K65">
        <v>234</v>
      </c>
      <c r="L65">
        <v>2</v>
      </c>
      <c r="M65">
        <v>4</v>
      </c>
      <c r="N65">
        <v>3</v>
      </c>
      <c r="O65" s="2">
        <v>29.94</v>
      </c>
      <c r="P65" s="3">
        <v>1.071</v>
      </c>
      <c r="Q65" s="4">
        <v>0.493229166666667</v>
      </c>
      <c r="R65" s="4">
        <v>0.74513888888888891</v>
      </c>
      <c r="T65" s="13"/>
      <c r="U65" s="10">
        <v>37.069000000000003</v>
      </c>
      <c r="V65" s="2"/>
      <c r="W65" s="2" t="str">
        <f t="shared" si="10"/>
        <v>6:02:45</v>
      </c>
      <c r="X65" s="10">
        <v>1.7999999999999999E-2</v>
      </c>
      <c r="Y65" s="12">
        <f t="shared" si="14"/>
        <v>37.051000000000002</v>
      </c>
      <c r="AA65" s="10">
        <f t="shared" si="13"/>
        <v>37.051000000000002</v>
      </c>
      <c r="AB65" s="10" t="s">
        <v>90</v>
      </c>
    </row>
    <row r="66" spans="1:29" x14ac:dyDescent="0.25">
      <c r="A66">
        <v>99</v>
      </c>
      <c r="B66" t="s">
        <v>57</v>
      </c>
      <c r="C66" t="s">
        <v>58</v>
      </c>
      <c r="D66" t="s">
        <v>12</v>
      </c>
      <c r="E66" t="s">
        <v>3</v>
      </c>
      <c r="F66" s="1">
        <v>44980</v>
      </c>
      <c r="G66" s="1">
        <v>45120</v>
      </c>
      <c r="H66">
        <f t="shared" ref="H66:H129" si="15">G66-F66</f>
        <v>140</v>
      </c>
      <c r="I66" t="s">
        <v>37</v>
      </c>
      <c r="J66">
        <v>30</v>
      </c>
      <c r="K66">
        <v>234</v>
      </c>
      <c r="L66">
        <v>2</v>
      </c>
      <c r="M66">
        <v>4</v>
      </c>
      <c r="N66">
        <v>5</v>
      </c>
      <c r="O66" s="2">
        <v>34.049999999999997</v>
      </c>
      <c r="P66" s="3">
        <v>1.6064000000000001</v>
      </c>
      <c r="Q66" s="4">
        <v>0.493229166666667</v>
      </c>
      <c r="R66" s="4">
        <v>0.74513888888888891</v>
      </c>
      <c r="T66" s="13"/>
      <c r="U66" s="10">
        <v>37.069000000000003</v>
      </c>
      <c r="V66" s="2"/>
      <c r="W66" s="2" t="str">
        <f t="shared" ref="W66:W97" si="16">TEXT(R66-Q66,"h:mm:ss")</f>
        <v>6:02:45</v>
      </c>
      <c r="X66" s="10">
        <v>1.7999999999999999E-2</v>
      </c>
      <c r="Y66" s="12">
        <f t="shared" si="14"/>
        <v>37.051000000000002</v>
      </c>
      <c r="AA66" s="10">
        <f t="shared" si="13"/>
        <v>37.051000000000002</v>
      </c>
      <c r="AB66" s="10" t="s">
        <v>90</v>
      </c>
    </row>
    <row r="67" spans="1:29" x14ac:dyDescent="0.25">
      <c r="A67">
        <v>56</v>
      </c>
      <c r="B67" t="s">
        <v>49</v>
      </c>
      <c r="C67" t="s">
        <v>50</v>
      </c>
      <c r="D67" t="s">
        <v>12</v>
      </c>
      <c r="E67" t="s">
        <v>3</v>
      </c>
      <c r="F67" s="1">
        <v>44938</v>
      </c>
      <c r="G67" s="1">
        <v>45083</v>
      </c>
      <c r="H67">
        <f t="shared" si="15"/>
        <v>145</v>
      </c>
      <c r="I67" t="s">
        <v>37</v>
      </c>
      <c r="J67">
        <v>30</v>
      </c>
      <c r="K67">
        <v>131</v>
      </c>
      <c r="L67">
        <v>2</v>
      </c>
      <c r="M67">
        <v>4</v>
      </c>
      <c r="N67">
        <v>2</v>
      </c>
      <c r="O67" s="2">
        <v>34.51</v>
      </c>
      <c r="P67" s="3">
        <v>1.5168999999999999</v>
      </c>
      <c r="Q67" s="4">
        <v>0.44003472222222201</v>
      </c>
      <c r="R67" s="4">
        <v>0.71388888888888891</v>
      </c>
      <c r="S67" s="2"/>
      <c r="T67" s="13"/>
      <c r="U67" s="10">
        <v>37.069000000000003</v>
      </c>
      <c r="V67" s="2"/>
      <c r="W67" s="2" t="str">
        <f t="shared" si="16"/>
        <v>6:34:21</v>
      </c>
      <c r="X67" s="10">
        <v>7.3099999999999997E-3</v>
      </c>
      <c r="Y67" s="12">
        <f t="shared" si="14"/>
        <v>37.061690000000006</v>
      </c>
      <c r="AA67" s="10">
        <f t="shared" si="13"/>
        <v>37.061690000000006</v>
      </c>
      <c r="AB67" s="10" t="s">
        <v>90</v>
      </c>
    </row>
    <row r="68" spans="1:29" x14ac:dyDescent="0.25">
      <c r="A68">
        <v>108</v>
      </c>
      <c r="B68" t="s">
        <v>62</v>
      </c>
      <c r="C68" t="s">
        <v>63</v>
      </c>
      <c r="D68" t="s">
        <v>12</v>
      </c>
      <c r="E68" t="s">
        <v>3</v>
      </c>
      <c r="F68" s="1">
        <v>44990</v>
      </c>
      <c r="G68" s="1">
        <v>45113</v>
      </c>
      <c r="H68">
        <f t="shared" si="15"/>
        <v>123</v>
      </c>
      <c r="I68" t="s">
        <v>38</v>
      </c>
      <c r="J68">
        <v>30</v>
      </c>
      <c r="K68">
        <v>354</v>
      </c>
      <c r="L68">
        <v>1</v>
      </c>
      <c r="M68">
        <v>4</v>
      </c>
      <c r="N68">
        <v>4</v>
      </c>
      <c r="O68" s="2">
        <v>32.19</v>
      </c>
      <c r="P68" s="3">
        <v>1.3996</v>
      </c>
      <c r="Q68" s="4">
        <v>0.48844907407407401</v>
      </c>
      <c r="R68" s="4">
        <v>0.74305555555555547</v>
      </c>
      <c r="T68" s="13">
        <v>37</v>
      </c>
      <c r="U68" s="10">
        <v>37.095999999999997</v>
      </c>
      <c r="V68" s="2">
        <f>U68-T68</f>
        <v>9.5999999999996533E-2</v>
      </c>
      <c r="W68" s="2" t="str">
        <f t="shared" si="16"/>
        <v>6:06:38</v>
      </c>
      <c r="X68" s="10">
        <v>-2.92E-2</v>
      </c>
      <c r="Y68" s="12">
        <f t="shared" si="14"/>
        <v>37.1252</v>
      </c>
      <c r="Z68" s="10">
        <f>Y68-T68</f>
        <v>0.12519999999999953</v>
      </c>
      <c r="AA68" s="10">
        <f t="shared" si="13"/>
        <v>37.062600000000003</v>
      </c>
      <c r="AB68" s="10" t="s">
        <v>90</v>
      </c>
      <c r="AC68" t="s">
        <v>71</v>
      </c>
    </row>
    <row r="69" spans="1:29" x14ac:dyDescent="0.25">
      <c r="A69">
        <v>99</v>
      </c>
      <c r="B69" t="s">
        <v>57</v>
      </c>
      <c r="C69" t="s">
        <v>58</v>
      </c>
      <c r="D69" t="s">
        <v>12</v>
      </c>
      <c r="E69" t="s">
        <v>3</v>
      </c>
      <c r="F69" s="1">
        <v>44980</v>
      </c>
      <c r="G69" s="1">
        <v>45113</v>
      </c>
      <c r="H69">
        <f t="shared" si="15"/>
        <v>133</v>
      </c>
      <c r="I69" t="s">
        <v>36</v>
      </c>
      <c r="J69">
        <v>31.5</v>
      </c>
      <c r="K69">
        <v>324</v>
      </c>
      <c r="L69">
        <v>2</v>
      </c>
      <c r="M69">
        <v>2</v>
      </c>
      <c r="N69">
        <v>4</v>
      </c>
      <c r="O69" s="2">
        <v>29.58</v>
      </c>
      <c r="P69" s="3">
        <v>1.0674999999999999</v>
      </c>
      <c r="Q69" s="4">
        <v>0.48844907407407401</v>
      </c>
      <c r="R69" s="4">
        <v>0.7416666666666667</v>
      </c>
      <c r="T69" s="13">
        <v>37</v>
      </c>
      <c r="U69" s="10">
        <v>37.206000000000003</v>
      </c>
      <c r="V69" s="8">
        <f>U69-T69</f>
        <v>0.20600000000000307</v>
      </c>
      <c r="W69" s="2" t="str">
        <f t="shared" si="16"/>
        <v>6:04:38</v>
      </c>
      <c r="X69" s="10">
        <v>7.6700000000000004E-2</v>
      </c>
      <c r="Y69" s="12">
        <f t="shared" si="14"/>
        <v>37.129300000000001</v>
      </c>
      <c r="Z69" s="10">
        <f>Y69-T69</f>
        <v>0.12930000000000064</v>
      </c>
      <c r="AA69" s="10">
        <f t="shared" si="13"/>
        <v>37.06465</v>
      </c>
      <c r="AB69" s="10" t="s">
        <v>90</v>
      </c>
    </row>
    <row r="70" spans="1:29" x14ac:dyDescent="0.25">
      <c r="A70">
        <v>99</v>
      </c>
      <c r="B70" t="s">
        <v>57</v>
      </c>
      <c r="C70" t="s">
        <v>58</v>
      </c>
      <c r="D70" t="s">
        <v>12</v>
      </c>
      <c r="E70" t="s">
        <v>3</v>
      </c>
      <c r="F70" s="1">
        <v>44980</v>
      </c>
      <c r="G70" s="1">
        <v>45113</v>
      </c>
      <c r="H70">
        <f t="shared" si="15"/>
        <v>133</v>
      </c>
      <c r="I70" t="s">
        <v>36</v>
      </c>
      <c r="J70">
        <v>31.5</v>
      </c>
      <c r="K70">
        <v>324</v>
      </c>
      <c r="L70">
        <v>2</v>
      </c>
      <c r="M70">
        <v>2</v>
      </c>
      <c r="N70">
        <v>2</v>
      </c>
      <c r="O70" s="2">
        <v>31.32</v>
      </c>
      <c r="P70" s="3">
        <v>1.2576000000000001</v>
      </c>
      <c r="Q70" s="4">
        <v>0.48844907407407401</v>
      </c>
      <c r="R70" s="4">
        <v>0.7416666666666667</v>
      </c>
      <c r="T70" s="13">
        <v>37</v>
      </c>
      <c r="U70" s="10">
        <v>37.206000000000003</v>
      </c>
      <c r="V70" s="8">
        <f>U70-T70</f>
        <v>0.20600000000000307</v>
      </c>
      <c r="W70" s="2" t="str">
        <f t="shared" si="16"/>
        <v>6:04:38</v>
      </c>
      <c r="X70" s="10">
        <v>7.6700000000000004E-2</v>
      </c>
      <c r="Y70" s="12">
        <f t="shared" si="14"/>
        <v>37.129300000000001</v>
      </c>
      <c r="Z70" s="10">
        <f>Y70-T70</f>
        <v>0.12930000000000064</v>
      </c>
      <c r="AA70" s="10">
        <f t="shared" si="13"/>
        <v>37.06465</v>
      </c>
      <c r="AB70" s="10" t="s">
        <v>90</v>
      </c>
    </row>
    <row r="71" spans="1:29" x14ac:dyDescent="0.25">
      <c r="A71">
        <v>96</v>
      </c>
      <c r="B71" t="s">
        <v>64</v>
      </c>
      <c r="C71" t="s">
        <v>65</v>
      </c>
      <c r="D71" t="s">
        <v>12</v>
      </c>
      <c r="E71" t="s">
        <v>3</v>
      </c>
      <c r="F71" s="1">
        <v>44980</v>
      </c>
      <c r="G71" s="1">
        <v>45114</v>
      </c>
      <c r="H71">
        <f t="shared" si="15"/>
        <v>134</v>
      </c>
      <c r="J71">
        <v>31.5</v>
      </c>
      <c r="K71">
        <v>157</v>
      </c>
      <c r="L71">
        <v>1</v>
      </c>
      <c r="O71" s="2">
        <v>39.56</v>
      </c>
      <c r="P71" s="3">
        <v>2.5064000000000002</v>
      </c>
      <c r="Q71" s="4">
        <v>0.547372685185185</v>
      </c>
      <c r="R71" s="4">
        <v>0.7993055555555556</v>
      </c>
      <c r="S71" s="2"/>
      <c r="T71" s="13"/>
      <c r="V71" s="10"/>
      <c r="W71" s="2" t="str">
        <f t="shared" si="16"/>
        <v>6:02:47</v>
      </c>
      <c r="Y71" s="12"/>
      <c r="AA71" s="10">
        <v>37.07</v>
      </c>
      <c r="AB71" s="10" t="s">
        <v>91</v>
      </c>
    </row>
    <row r="72" spans="1:29" x14ac:dyDescent="0.25">
      <c r="A72">
        <v>96</v>
      </c>
      <c r="B72" t="s">
        <v>64</v>
      </c>
      <c r="C72" t="s">
        <v>65</v>
      </c>
      <c r="D72" t="s">
        <v>12</v>
      </c>
      <c r="E72" t="s">
        <v>3</v>
      </c>
      <c r="F72" s="1">
        <v>44980</v>
      </c>
      <c r="G72" s="1">
        <v>45113</v>
      </c>
      <c r="H72">
        <f t="shared" si="15"/>
        <v>133</v>
      </c>
      <c r="I72" t="s">
        <v>37</v>
      </c>
      <c r="J72">
        <v>28.5</v>
      </c>
      <c r="K72">
        <v>345</v>
      </c>
      <c r="L72">
        <v>1</v>
      </c>
      <c r="M72">
        <v>6</v>
      </c>
      <c r="N72">
        <v>3</v>
      </c>
      <c r="O72" s="2">
        <v>33.03</v>
      </c>
      <c r="P72" s="3">
        <v>1.4357</v>
      </c>
      <c r="Q72" s="4">
        <v>0.48844907407407401</v>
      </c>
      <c r="R72" s="4">
        <v>0.74097222222222225</v>
      </c>
      <c r="T72" s="13">
        <v>37.1</v>
      </c>
      <c r="U72" s="10">
        <v>37.042000000000002</v>
      </c>
      <c r="V72" s="2">
        <f>U72-T72</f>
        <v>-5.7999999999999829E-2</v>
      </c>
      <c r="W72" s="2" t="str">
        <f t="shared" si="16"/>
        <v>6:03:38</v>
      </c>
      <c r="X72" s="10">
        <v>7.6999999999999996E-4</v>
      </c>
      <c r="Y72" s="12">
        <f t="shared" ref="Y72:Y79" si="17">U72-X72</f>
        <v>37.041229999999999</v>
      </c>
      <c r="Z72" s="10">
        <f>Y72-T72</f>
        <v>-5.8770000000002653E-2</v>
      </c>
      <c r="AA72" s="10">
        <f t="shared" ref="AA72:AA83" si="18">AVERAGE(Y72,T72)</f>
        <v>37.070615000000004</v>
      </c>
      <c r="AB72" s="10" t="s">
        <v>90</v>
      </c>
    </row>
    <row r="73" spans="1:29" x14ac:dyDescent="0.25">
      <c r="A73">
        <v>96</v>
      </c>
      <c r="B73" t="s">
        <v>64</v>
      </c>
      <c r="C73" t="s">
        <v>65</v>
      </c>
      <c r="D73" t="s">
        <v>12</v>
      </c>
      <c r="E73" t="s">
        <v>3</v>
      </c>
      <c r="F73" s="1">
        <v>44980</v>
      </c>
      <c r="G73" s="1">
        <v>45113</v>
      </c>
      <c r="H73">
        <f t="shared" si="15"/>
        <v>133</v>
      </c>
      <c r="I73" t="s">
        <v>38</v>
      </c>
      <c r="J73">
        <v>30</v>
      </c>
      <c r="K73">
        <v>250</v>
      </c>
      <c r="L73">
        <v>1</v>
      </c>
      <c r="M73">
        <v>6</v>
      </c>
      <c r="N73">
        <v>2</v>
      </c>
      <c r="O73" s="2">
        <v>34.79</v>
      </c>
      <c r="P73" s="3">
        <v>1.94</v>
      </c>
      <c r="Q73" s="4">
        <v>0.48844907407407401</v>
      </c>
      <c r="R73" s="4">
        <v>0.74097222222222225</v>
      </c>
      <c r="T73" s="13">
        <v>37.1</v>
      </c>
      <c r="U73" s="10">
        <v>37.042000000000002</v>
      </c>
      <c r="V73" s="2">
        <f>U73-T73</f>
        <v>-5.7999999999999829E-2</v>
      </c>
      <c r="W73" s="2" t="str">
        <f t="shared" si="16"/>
        <v>6:03:38</v>
      </c>
      <c r="X73" s="10">
        <v>7.6999999999999996E-4</v>
      </c>
      <c r="Y73" s="12">
        <f t="shared" si="17"/>
        <v>37.041229999999999</v>
      </c>
      <c r="Z73" s="10">
        <f>Y73-T73</f>
        <v>-5.8770000000002653E-2</v>
      </c>
      <c r="AA73" s="10">
        <f t="shared" si="18"/>
        <v>37.070615000000004</v>
      </c>
      <c r="AB73" s="10" t="s">
        <v>90</v>
      </c>
    </row>
    <row r="74" spans="1:29" x14ac:dyDescent="0.25">
      <c r="A74">
        <v>96</v>
      </c>
      <c r="B74" t="s">
        <v>64</v>
      </c>
      <c r="C74" t="s">
        <v>65</v>
      </c>
      <c r="D74" t="s">
        <v>12</v>
      </c>
      <c r="E74" t="s">
        <v>3</v>
      </c>
      <c r="F74" s="1">
        <v>44980</v>
      </c>
      <c r="G74" s="1">
        <v>45113</v>
      </c>
      <c r="H74">
        <f t="shared" si="15"/>
        <v>133</v>
      </c>
      <c r="I74" t="s">
        <v>36</v>
      </c>
      <c r="J74">
        <v>31.5</v>
      </c>
      <c r="K74">
        <v>157</v>
      </c>
      <c r="L74">
        <v>1</v>
      </c>
      <c r="M74">
        <v>6</v>
      </c>
      <c r="N74">
        <v>3</v>
      </c>
      <c r="O74" s="2">
        <v>29.2</v>
      </c>
      <c r="P74" s="3">
        <v>1.1123000000000001</v>
      </c>
      <c r="Q74" s="4">
        <v>0.48844907407407401</v>
      </c>
      <c r="R74" s="4">
        <v>0.74097222222222225</v>
      </c>
      <c r="T74" s="13">
        <v>37.1</v>
      </c>
      <c r="U74" s="10">
        <v>37.042000000000002</v>
      </c>
      <c r="V74" s="2">
        <f>U74-T74</f>
        <v>-5.7999999999999829E-2</v>
      </c>
      <c r="W74" s="2" t="str">
        <f t="shared" si="16"/>
        <v>6:03:38</v>
      </c>
      <c r="X74" s="10">
        <v>7.6999999999999996E-4</v>
      </c>
      <c r="Y74" s="12">
        <f t="shared" si="17"/>
        <v>37.041229999999999</v>
      </c>
      <c r="Z74" s="10">
        <f>Y74-T74</f>
        <v>-5.8770000000002653E-2</v>
      </c>
      <c r="AA74" s="10">
        <f t="shared" si="18"/>
        <v>37.070615000000004</v>
      </c>
      <c r="AB74" s="10" t="s">
        <v>90</v>
      </c>
    </row>
    <row r="75" spans="1:29" x14ac:dyDescent="0.25">
      <c r="A75">
        <v>108</v>
      </c>
      <c r="B75" t="s">
        <v>62</v>
      </c>
      <c r="C75" t="s">
        <v>63</v>
      </c>
      <c r="D75" t="s">
        <v>12</v>
      </c>
      <c r="E75" t="s">
        <v>3</v>
      </c>
      <c r="F75" s="1">
        <v>44990</v>
      </c>
      <c r="G75" s="1">
        <v>45120</v>
      </c>
      <c r="H75">
        <f t="shared" si="15"/>
        <v>130</v>
      </c>
      <c r="I75" t="s">
        <v>36</v>
      </c>
      <c r="J75">
        <v>28.5</v>
      </c>
      <c r="K75">
        <v>236</v>
      </c>
      <c r="L75">
        <v>1</v>
      </c>
      <c r="M75">
        <v>3</v>
      </c>
      <c r="N75">
        <v>1</v>
      </c>
      <c r="O75" s="2">
        <v>27.07</v>
      </c>
      <c r="P75" s="3">
        <v>0.84309999999999996</v>
      </c>
      <c r="Q75" s="4">
        <v>0.493229166666667</v>
      </c>
      <c r="R75" s="4">
        <v>0.74444444444444446</v>
      </c>
      <c r="T75" s="13"/>
      <c r="U75" s="10">
        <v>37.095999999999997</v>
      </c>
      <c r="V75" s="2"/>
      <c r="W75" s="2" t="str">
        <f t="shared" si="16"/>
        <v>6:01:45</v>
      </c>
      <c r="X75" s="10">
        <v>2.3E-2</v>
      </c>
      <c r="Y75" s="12">
        <f t="shared" si="17"/>
        <v>37.072999999999993</v>
      </c>
      <c r="AA75" s="10">
        <f t="shared" si="18"/>
        <v>37.072999999999993</v>
      </c>
      <c r="AB75" s="10" t="s">
        <v>90</v>
      </c>
    </row>
    <row r="76" spans="1:29" x14ac:dyDescent="0.25">
      <c r="A76">
        <v>99</v>
      </c>
      <c r="B76" t="s">
        <v>57</v>
      </c>
      <c r="C76" t="s">
        <v>58</v>
      </c>
      <c r="D76" t="s">
        <v>12</v>
      </c>
      <c r="E76" t="s">
        <v>3</v>
      </c>
      <c r="F76" s="1">
        <v>44980</v>
      </c>
      <c r="G76" s="1">
        <v>45120</v>
      </c>
      <c r="H76">
        <f t="shared" si="15"/>
        <v>140</v>
      </c>
      <c r="I76" t="s">
        <v>37</v>
      </c>
      <c r="J76">
        <v>30</v>
      </c>
      <c r="K76">
        <v>234</v>
      </c>
      <c r="L76">
        <v>2</v>
      </c>
      <c r="M76">
        <v>4</v>
      </c>
      <c r="N76">
        <v>2</v>
      </c>
      <c r="O76" s="2">
        <v>29.26</v>
      </c>
      <c r="P76" s="3">
        <v>1.0303</v>
      </c>
      <c r="Q76" s="4">
        <v>0.493229166666667</v>
      </c>
      <c r="R76" s="4">
        <v>0.74861111111111101</v>
      </c>
      <c r="T76" s="13"/>
      <c r="U76" s="10">
        <v>37.095999999999997</v>
      </c>
      <c r="V76" s="2"/>
      <c r="W76" s="2" t="str">
        <f t="shared" si="16"/>
        <v>6:07:45</v>
      </c>
      <c r="X76" s="10">
        <v>1.7999999999999999E-2</v>
      </c>
      <c r="Y76" s="12">
        <f t="shared" si="17"/>
        <v>37.077999999999996</v>
      </c>
      <c r="AA76" s="10">
        <f t="shared" si="18"/>
        <v>37.077999999999996</v>
      </c>
      <c r="AB76" s="10" t="s">
        <v>90</v>
      </c>
    </row>
    <row r="77" spans="1:29" x14ac:dyDescent="0.25">
      <c r="A77">
        <v>99</v>
      </c>
      <c r="B77" t="s">
        <v>57</v>
      </c>
      <c r="C77" t="s">
        <v>58</v>
      </c>
      <c r="D77" t="s">
        <v>12</v>
      </c>
      <c r="E77" t="s">
        <v>3</v>
      </c>
      <c r="F77" s="1">
        <v>44980</v>
      </c>
      <c r="G77" s="1">
        <v>45113</v>
      </c>
      <c r="H77">
        <f t="shared" si="15"/>
        <v>133</v>
      </c>
      <c r="I77" t="s">
        <v>36</v>
      </c>
      <c r="J77">
        <v>31.5</v>
      </c>
      <c r="K77">
        <v>324</v>
      </c>
      <c r="L77">
        <v>2</v>
      </c>
      <c r="M77">
        <v>2</v>
      </c>
      <c r="N77">
        <v>1</v>
      </c>
      <c r="O77" s="2">
        <v>36.090000000000003</v>
      </c>
      <c r="P77" s="3">
        <v>1.8633</v>
      </c>
      <c r="Q77" s="4">
        <v>0.48844907407407401</v>
      </c>
      <c r="R77" s="4">
        <v>0.74513888888888891</v>
      </c>
      <c r="T77" s="13">
        <v>36.950000000000003</v>
      </c>
      <c r="U77" s="10">
        <v>37.287999999999997</v>
      </c>
      <c r="V77" s="8">
        <f>U77-T77</f>
        <v>0.33799999999999386</v>
      </c>
      <c r="W77" s="2" t="str">
        <f t="shared" si="16"/>
        <v>6:09:38</v>
      </c>
      <c r="X77" s="10">
        <v>7.6700000000000004E-2</v>
      </c>
      <c r="Y77" s="12">
        <f t="shared" si="17"/>
        <v>37.211299999999994</v>
      </c>
      <c r="Z77" s="11">
        <f>Y77-T77</f>
        <v>0.26129999999999143</v>
      </c>
      <c r="AA77" s="10">
        <f t="shared" si="18"/>
        <v>37.080649999999999</v>
      </c>
      <c r="AB77" s="10" t="s">
        <v>90</v>
      </c>
    </row>
    <row r="78" spans="1:29" x14ac:dyDescent="0.25">
      <c r="A78">
        <v>99</v>
      </c>
      <c r="B78" t="s">
        <v>57</v>
      </c>
      <c r="C78" t="s">
        <v>58</v>
      </c>
      <c r="D78" t="s">
        <v>12</v>
      </c>
      <c r="E78" t="s">
        <v>3</v>
      </c>
      <c r="F78" s="1">
        <v>44980</v>
      </c>
      <c r="G78" s="1">
        <v>45113</v>
      </c>
      <c r="H78">
        <f t="shared" si="15"/>
        <v>133</v>
      </c>
      <c r="I78" t="s">
        <v>36</v>
      </c>
      <c r="J78">
        <v>31.5</v>
      </c>
      <c r="K78">
        <v>324</v>
      </c>
      <c r="L78">
        <v>2</v>
      </c>
      <c r="M78">
        <v>2</v>
      </c>
      <c r="N78">
        <v>3</v>
      </c>
      <c r="O78" s="2">
        <v>37.76</v>
      </c>
      <c r="P78" s="3">
        <v>2.3868</v>
      </c>
      <c r="Q78" s="4">
        <v>0.48844907407407401</v>
      </c>
      <c r="R78" s="4">
        <v>0.74375000000000002</v>
      </c>
      <c r="T78" s="13">
        <v>37</v>
      </c>
      <c r="U78" s="10">
        <v>37.261000000000003</v>
      </c>
      <c r="V78" s="8">
        <f>U78-T78</f>
        <v>0.26100000000000279</v>
      </c>
      <c r="W78" s="2" t="str">
        <f t="shared" si="16"/>
        <v>6:07:38</v>
      </c>
      <c r="X78" s="10">
        <v>7.6700000000000004E-2</v>
      </c>
      <c r="Y78" s="12">
        <f t="shared" si="17"/>
        <v>37.1843</v>
      </c>
      <c r="Z78" s="11">
        <f>Y78-T78</f>
        <v>0.18430000000000035</v>
      </c>
      <c r="AA78" s="10">
        <f t="shared" si="18"/>
        <v>37.092150000000004</v>
      </c>
      <c r="AB78" s="10" t="s">
        <v>90</v>
      </c>
    </row>
    <row r="79" spans="1:29" x14ac:dyDescent="0.25">
      <c r="A79">
        <v>96</v>
      </c>
      <c r="B79" t="s">
        <v>64</v>
      </c>
      <c r="C79" t="s">
        <v>65</v>
      </c>
      <c r="D79" t="s">
        <v>12</v>
      </c>
      <c r="E79" t="s">
        <v>3</v>
      </c>
      <c r="F79" s="1">
        <v>44980</v>
      </c>
      <c r="G79" s="1">
        <v>45119</v>
      </c>
      <c r="H79">
        <f t="shared" si="15"/>
        <v>139</v>
      </c>
      <c r="I79" t="s">
        <v>37</v>
      </c>
      <c r="J79">
        <v>30</v>
      </c>
      <c r="K79">
        <v>233</v>
      </c>
      <c r="L79">
        <v>2</v>
      </c>
      <c r="M79">
        <v>6</v>
      </c>
      <c r="N79">
        <v>5</v>
      </c>
      <c r="O79" s="2">
        <v>25.29</v>
      </c>
      <c r="P79" s="3">
        <v>0.62949999999999995</v>
      </c>
      <c r="Q79" s="4">
        <v>0.50962962962962999</v>
      </c>
      <c r="R79" s="4">
        <v>0.76874999999999993</v>
      </c>
      <c r="T79" s="13">
        <v>37.1</v>
      </c>
      <c r="U79" s="10">
        <v>37.095999999999997</v>
      </c>
      <c r="V79" s="2">
        <f>U79-T79</f>
        <v>-4.0000000000048885E-3</v>
      </c>
      <c r="W79" s="2" t="str">
        <f t="shared" si="16"/>
        <v>6:13:08</v>
      </c>
      <c r="X79" s="10">
        <v>0.01</v>
      </c>
      <c r="Y79" s="12">
        <f t="shared" si="17"/>
        <v>37.085999999999999</v>
      </c>
      <c r="Z79" s="10">
        <f>Y79-T79</f>
        <v>-1.4000000000002899E-2</v>
      </c>
      <c r="AA79" s="10">
        <f t="shared" si="18"/>
        <v>37.093000000000004</v>
      </c>
      <c r="AB79" s="10" t="s">
        <v>90</v>
      </c>
    </row>
    <row r="80" spans="1:29" x14ac:dyDescent="0.25">
      <c r="A80">
        <v>56</v>
      </c>
      <c r="B80" t="s">
        <v>49</v>
      </c>
      <c r="C80" t="s">
        <v>50</v>
      </c>
      <c r="D80" t="s">
        <v>12</v>
      </c>
      <c r="E80" t="s">
        <v>3</v>
      </c>
      <c r="F80" s="1">
        <v>44938</v>
      </c>
      <c r="G80" s="1">
        <v>45078</v>
      </c>
      <c r="H80">
        <f t="shared" si="15"/>
        <v>140</v>
      </c>
      <c r="I80" t="s">
        <v>38</v>
      </c>
      <c r="J80">
        <v>28.5</v>
      </c>
      <c r="K80">
        <v>137</v>
      </c>
      <c r="L80">
        <v>2</v>
      </c>
      <c r="M80">
        <v>4</v>
      </c>
      <c r="N80">
        <v>3</v>
      </c>
      <c r="O80" s="2">
        <v>31.88</v>
      </c>
      <c r="P80" s="3">
        <v>1.1978</v>
      </c>
      <c r="Q80" s="4">
        <v>0.51203703703703696</v>
      </c>
      <c r="R80" s="4">
        <v>0.77013888888888893</v>
      </c>
      <c r="S80" s="2">
        <f>AVERAGE(T80:U80)</f>
        <v>37.1</v>
      </c>
      <c r="T80" s="13">
        <v>37.1</v>
      </c>
      <c r="V80" s="2"/>
      <c r="W80" s="2" t="str">
        <f t="shared" si="16"/>
        <v>6:11:40</v>
      </c>
      <c r="Y80" s="12"/>
      <c r="AA80" s="10">
        <f t="shared" si="18"/>
        <v>37.1</v>
      </c>
      <c r="AB80" s="10" t="s">
        <v>90</v>
      </c>
    </row>
    <row r="81" spans="1:29" x14ac:dyDescent="0.25">
      <c r="A81">
        <v>56</v>
      </c>
      <c r="B81" t="s">
        <v>49</v>
      </c>
      <c r="C81" t="s">
        <v>50</v>
      </c>
      <c r="D81" t="s">
        <v>12</v>
      </c>
      <c r="E81" t="s">
        <v>3</v>
      </c>
      <c r="F81" s="1">
        <v>44938</v>
      </c>
      <c r="G81" s="1">
        <v>45078</v>
      </c>
      <c r="H81">
        <f t="shared" si="15"/>
        <v>140</v>
      </c>
      <c r="I81" t="s">
        <v>38</v>
      </c>
      <c r="J81">
        <v>28.5</v>
      </c>
      <c r="K81">
        <v>137</v>
      </c>
      <c r="L81">
        <v>2</v>
      </c>
      <c r="M81">
        <v>4</v>
      </c>
      <c r="N81">
        <v>1</v>
      </c>
      <c r="O81" s="2">
        <v>33.24</v>
      </c>
      <c r="P81" s="3">
        <v>1.3391999999999999</v>
      </c>
      <c r="Q81" s="4">
        <v>0.51203703703703696</v>
      </c>
      <c r="R81" s="4">
        <v>0.77013888888888893</v>
      </c>
      <c r="S81" s="2">
        <f>AVERAGE(T81:U81)</f>
        <v>37.1</v>
      </c>
      <c r="T81" s="13">
        <v>37.1</v>
      </c>
      <c r="V81" s="2"/>
      <c r="W81" s="2" t="str">
        <f t="shared" si="16"/>
        <v>6:11:40</v>
      </c>
      <c r="Y81" s="12"/>
      <c r="AA81" s="10">
        <f t="shared" si="18"/>
        <v>37.1</v>
      </c>
      <c r="AB81" s="10" t="s">
        <v>90</v>
      </c>
    </row>
    <row r="82" spans="1:29" x14ac:dyDescent="0.25">
      <c r="A82">
        <v>56</v>
      </c>
      <c r="B82" t="s">
        <v>49</v>
      </c>
      <c r="C82" t="s">
        <v>50</v>
      </c>
      <c r="D82" t="s">
        <v>12</v>
      </c>
      <c r="E82" t="s">
        <v>3</v>
      </c>
      <c r="F82" s="1">
        <v>44938</v>
      </c>
      <c r="G82" s="1">
        <v>45078</v>
      </c>
      <c r="H82">
        <f t="shared" si="15"/>
        <v>140</v>
      </c>
      <c r="I82" t="s">
        <v>38</v>
      </c>
      <c r="J82">
        <v>28.5</v>
      </c>
      <c r="K82">
        <v>137</v>
      </c>
      <c r="L82">
        <v>2</v>
      </c>
      <c r="M82">
        <v>4</v>
      </c>
      <c r="N82">
        <v>4</v>
      </c>
      <c r="O82" s="2">
        <v>35.47</v>
      </c>
      <c r="P82" s="3">
        <v>1.7311000000000001</v>
      </c>
      <c r="Q82" s="4">
        <v>0.51203703703703696</v>
      </c>
      <c r="R82" s="4">
        <v>0.77013888888888893</v>
      </c>
      <c r="S82" s="2">
        <f>AVERAGE(T82:U82)</f>
        <v>37.1</v>
      </c>
      <c r="T82" s="13">
        <v>37.1</v>
      </c>
      <c r="V82" s="2"/>
      <c r="W82" s="2" t="str">
        <f t="shared" si="16"/>
        <v>6:11:40</v>
      </c>
      <c r="Y82" s="12"/>
      <c r="AA82" s="10">
        <f t="shared" si="18"/>
        <v>37.1</v>
      </c>
      <c r="AB82" s="10" t="s">
        <v>90</v>
      </c>
    </row>
    <row r="83" spans="1:29" x14ac:dyDescent="0.25">
      <c r="A83">
        <v>56</v>
      </c>
      <c r="B83" t="s">
        <v>49</v>
      </c>
      <c r="C83" t="s">
        <v>50</v>
      </c>
      <c r="D83" t="s">
        <v>12</v>
      </c>
      <c r="E83" t="s">
        <v>3</v>
      </c>
      <c r="F83" s="1">
        <v>44938</v>
      </c>
      <c r="G83" s="1">
        <v>45078</v>
      </c>
      <c r="H83">
        <f t="shared" si="15"/>
        <v>140</v>
      </c>
      <c r="I83" t="s">
        <v>37</v>
      </c>
      <c r="J83">
        <v>30</v>
      </c>
      <c r="K83">
        <v>253</v>
      </c>
      <c r="L83">
        <v>1</v>
      </c>
      <c r="M83">
        <v>4</v>
      </c>
      <c r="N83">
        <v>3</v>
      </c>
      <c r="O83" s="2">
        <v>26.4</v>
      </c>
      <c r="P83" s="3">
        <v>0.56579999999999997</v>
      </c>
      <c r="Q83" s="4">
        <v>0.51203703703703696</v>
      </c>
      <c r="R83" s="4">
        <v>0.77013888888888893</v>
      </c>
      <c r="S83" s="2">
        <f>AVERAGE(T83:U83)</f>
        <v>37.1</v>
      </c>
      <c r="T83" s="13">
        <v>37.1</v>
      </c>
      <c r="V83" s="2"/>
      <c r="W83" s="2" t="str">
        <f t="shared" si="16"/>
        <v>6:11:40</v>
      </c>
      <c r="Y83" s="12"/>
      <c r="AA83" s="10">
        <f t="shared" si="18"/>
        <v>37.1</v>
      </c>
      <c r="AB83" s="10" t="s">
        <v>90</v>
      </c>
    </row>
    <row r="84" spans="1:29" x14ac:dyDescent="0.25">
      <c r="A84">
        <v>56</v>
      </c>
      <c r="B84" t="s">
        <v>49</v>
      </c>
      <c r="C84" t="s">
        <v>50</v>
      </c>
      <c r="D84" t="s">
        <v>12</v>
      </c>
      <c r="E84" t="s">
        <v>3</v>
      </c>
      <c r="F84" s="1">
        <v>44938</v>
      </c>
      <c r="G84" s="1">
        <v>45083</v>
      </c>
      <c r="H84">
        <f t="shared" si="15"/>
        <v>145</v>
      </c>
      <c r="J84">
        <v>30</v>
      </c>
      <c r="K84">
        <v>131</v>
      </c>
      <c r="L84">
        <v>2</v>
      </c>
      <c r="O84" s="2">
        <v>34.51</v>
      </c>
      <c r="P84" s="3">
        <v>1.5168999999999999</v>
      </c>
      <c r="Q84" s="4">
        <v>0.44003472222222201</v>
      </c>
      <c r="R84" s="4">
        <v>0.71458333333333324</v>
      </c>
      <c r="S84" s="2"/>
      <c r="T84" s="13"/>
      <c r="V84" s="10"/>
      <c r="W84" s="2" t="str">
        <f t="shared" si="16"/>
        <v>6:35:21</v>
      </c>
      <c r="Y84" s="12"/>
      <c r="AA84" s="10">
        <v>37.1</v>
      </c>
      <c r="AB84" s="10" t="s">
        <v>91</v>
      </c>
    </row>
    <row r="85" spans="1:29" x14ac:dyDescent="0.25">
      <c r="A85">
        <v>108</v>
      </c>
      <c r="B85" t="s">
        <v>62</v>
      </c>
      <c r="C85" t="s">
        <v>63</v>
      </c>
      <c r="D85" t="s">
        <v>12</v>
      </c>
      <c r="E85" t="s">
        <v>3</v>
      </c>
      <c r="F85" s="1">
        <v>44990</v>
      </c>
      <c r="G85" s="1">
        <v>45118</v>
      </c>
      <c r="H85">
        <f t="shared" si="15"/>
        <v>128</v>
      </c>
      <c r="J85">
        <v>31.5</v>
      </c>
      <c r="K85">
        <v>254</v>
      </c>
      <c r="L85">
        <v>1</v>
      </c>
      <c r="O85" s="2">
        <v>35.61</v>
      </c>
      <c r="P85" s="3">
        <v>1.7341</v>
      </c>
      <c r="Q85" s="4">
        <v>0.55416666666666703</v>
      </c>
      <c r="R85" s="4">
        <v>0.8125</v>
      </c>
      <c r="S85" s="2"/>
      <c r="T85" s="13"/>
      <c r="V85" s="10"/>
      <c r="W85" s="2" t="str">
        <f t="shared" si="16"/>
        <v>6:12:00</v>
      </c>
      <c r="Y85" s="12"/>
      <c r="AA85" s="10">
        <v>37.1</v>
      </c>
      <c r="AB85" s="10" t="s">
        <v>91</v>
      </c>
    </row>
    <row r="86" spans="1:29" x14ac:dyDescent="0.25">
      <c r="A86">
        <v>108</v>
      </c>
      <c r="B86" t="s">
        <v>62</v>
      </c>
      <c r="C86" t="s">
        <v>63</v>
      </c>
      <c r="D86" t="s">
        <v>12</v>
      </c>
      <c r="E86" t="s">
        <v>3</v>
      </c>
      <c r="F86" s="1">
        <v>44990</v>
      </c>
      <c r="G86" s="1">
        <v>45120</v>
      </c>
      <c r="H86">
        <f t="shared" si="15"/>
        <v>130</v>
      </c>
      <c r="I86" t="s">
        <v>36</v>
      </c>
      <c r="J86">
        <v>28.5</v>
      </c>
      <c r="K86">
        <v>236</v>
      </c>
      <c r="L86">
        <v>1</v>
      </c>
      <c r="M86">
        <v>3</v>
      </c>
      <c r="N86">
        <v>2</v>
      </c>
      <c r="O86" s="2">
        <v>29.85</v>
      </c>
      <c r="P86" s="3">
        <v>0.96040000000000003</v>
      </c>
      <c r="Q86" s="4">
        <v>0.493229166666667</v>
      </c>
      <c r="R86" s="4">
        <v>0.74583333333333324</v>
      </c>
      <c r="T86" s="13"/>
      <c r="U86" s="10">
        <v>37.124000000000002</v>
      </c>
      <c r="V86" s="2"/>
      <c r="W86" s="2" t="str">
        <f t="shared" si="16"/>
        <v>6:03:45</v>
      </c>
      <c r="X86" s="10">
        <v>2.3E-2</v>
      </c>
      <c r="Y86" s="12">
        <f>U86-X86</f>
        <v>37.100999999999999</v>
      </c>
      <c r="AA86" s="10">
        <f>AVERAGE(Y86,T86)</f>
        <v>37.100999999999999</v>
      </c>
      <c r="AB86" s="10" t="s">
        <v>90</v>
      </c>
    </row>
    <row r="87" spans="1:29" x14ac:dyDescent="0.25">
      <c r="A87">
        <v>108</v>
      </c>
      <c r="B87" t="s">
        <v>62</v>
      </c>
      <c r="C87" t="s">
        <v>63</v>
      </c>
      <c r="D87" t="s">
        <v>12</v>
      </c>
      <c r="E87" t="s">
        <v>3</v>
      </c>
      <c r="F87" s="1">
        <v>44990</v>
      </c>
      <c r="G87" s="1">
        <v>45120</v>
      </c>
      <c r="H87">
        <f t="shared" si="15"/>
        <v>130</v>
      </c>
      <c r="I87" t="s">
        <v>37</v>
      </c>
      <c r="J87">
        <v>30</v>
      </c>
      <c r="K87">
        <v>330</v>
      </c>
      <c r="L87">
        <v>2</v>
      </c>
      <c r="M87">
        <v>3</v>
      </c>
      <c r="N87">
        <v>3</v>
      </c>
      <c r="O87" s="2">
        <v>32.85</v>
      </c>
      <c r="P87" s="3">
        <v>1.4711000000000001</v>
      </c>
      <c r="Q87" s="4">
        <v>0.493229166666667</v>
      </c>
      <c r="R87" s="4">
        <v>0.74583333333333324</v>
      </c>
      <c r="T87" s="13"/>
      <c r="U87" s="10">
        <v>37.124000000000002</v>
      </c>
      <c r="V87" s="2"/>
      <c r="W87" s="2" t="str">
        <f t="shared" si="16"/>
        <v>6:03:45</v>
      </c>
      <c r="X87" s="10">
        <v>2.3E-2</v>
      </c>
      <c r="Y87" s="12">
        <f>U87-X87</f>
        <v>37.100999999999999</v>
      </c>
      <c r="AA87" s="10">
        <f>AVERAGE(Y87,T87)</f>
        <v>37.100999999999999</v>
      </c>
      <c r="AB87" s="10" t="s">
        <v>90</v>
      </c>
    </row>
    <row r="88" spans="1:29" x14ac:dyDescent="0.25">
      <c r="A88">
        <v>56</v>
      </c>
      <c r="B88" t="s">
        <v>49</v>
      </c>
      <c r="C88" t="s">
        <v>50</v>
      </c>
      <c r="D88" t="s">
        <v>12</v>
      </c>
      <c r="E88" t="s">
        <v>3</v>
      </c>
      <c r="F88" s="1">
        <v>44938</v>
      </c>
      <c r="G88" s="1">
        <v>45083</v>
      </c>
      <c r="H88">
        <f t="shared" si="15"/>
        <v>145</v>
      </c>
      <c r="J88">
        <v>30</v>
      </c>
      <c r="K88">
        <v>131</v>
      </c>
      <c r="L88">
        <v>2</v>
      </c>
      <c r="O88" s="2">
        <v>34.54</v>
      </c>
      <c r="P88" s="3">
        <v>1.6646000000000001</v>
      </c>
      <c r="Q88" s="4">
        <v>0.44003472222222201</v>
      </c>
      <c r="R88" s="4">
        <v>0.71180555555555503</v>
      </c>
      <c r="S88" s="2"/>
      <c r="T88" s="13"/>
      <c r="V88" s="10"/>
      <c r="W88" s="2" t="str">
        <f t="shared" si="16"/>
        <v>6:31:21</v>
      </c>
      <c r="Y88" s="12"/>
      <c r="AA88" s="10">
        <v>37.130000000000003</v>
      </c>
      <c r="AB88" s="10" t="s">
        <v>91</v>
      </c>
    </row>
    <row r="89" spans="1:29" x14ac:dyDescent="0.25">
      <c r="A89">
        <v>108</v>
      </c>
      <c r="B89" t="s">
        <v>62</v>
      </c>
      <c r="C89" t="s">
        <v>63</v>
      </c>
      <c r="D89" t="s">
        <v>12</v>
      </c>
      <c r="E89" t="s">
        <v>3</v>
      </c>
      <c r="F89" s="1">
        <v>44990</v>
      </c>
      <c r="G89" s="1">
        <v>45118</v>
      </c>
      <c r="H89">
        <f t="shared" si="15"/>
        <v>128</v>
      </c>
      <c r="J89">
        <v>31.5</v>
      </c>
      <c r="K89">
        <v>254</v>
      </c>
      <c r="L89">
        <v>1</v>
      </c>
      <c r="O89" s="2">
        <v>32.14</v>
      </c>
      <c r="P89" s="3">
        <v>1.3871</v>
      </c>
      <c r="Q89" s="4">
        <v>0.5541666666666667</v>
      </c>
      <c r="R89" s="4">
        <v>0.81388888888888899</v>
      </c>
      <c r="S89" s="2"/>
      <c r="T89" s="13"/>
      <c r="V89" s="10"/>
      <c r="W89" s="2" t="str">
        <f t="shared" si="16"/>
        <v>6:14:00</v>
      </c>
      <c r="Y89" s="12"/>
      <c r="AA89" s="10">
        <v>37.130000000000003</v>
      </c>
      <c r="AB89" s="10" t="s">
        <v>91</v>
      </c>
    </row>
    <row r="90" spans="1:29" x14ac:dyDescent="0.25">
      <c r="A90">
        <v>56</v>
      </c>
      <c r="B90" t="s">
        <v>49</v>
      </c>
      <c r="C90" t="s">
        <v>50</v>
      </c>
      <c r="D90" t="s">
        <v>12</v>
      </c>
      <c r="E90" t="s">
        <v>3</v>
      </c>
      <c r="F90" s="1">
        <v>44938</v>
      </c>
      <c r="G90" s="1">
        <v>45078</v>
      </c>
      <c r="H90">
        <f t="shared" si="15"/>
        <v>140</v>
      </c>
      <c r="J90">
        <v>28.5</v>
      </c>
      <c r="K90">
        <v>137</v>
      </c>
      <c r="L90">
        <v>2</v>
      </c>
      <c r="O90" s="2">
        <v>35.35</v>
      </c>
      <c r="P90" s="3">
        <v>1.6737</v>
      </c>
      <c r="Q90" s="4">
        <v>0.51203703703703696</v>
      </c>
      <c r="R90" s="4">
        <v>0.7729166666666667</v>
      </c>
      <c r="S90" s="2"/>
      <c r="T90" s="13"/>
      <c r="V90" s="10"/>
      <c r="W90" s="2" t="str">
        <f t="shared" si="16"/>
        <v>6:15:40</v>
      </c>
      <c r="Y90" s="12"/>
      <c r="AA90" s="10">
        <v>37.14</v>
      </c>
      <c r="AB90" s="10" t="s">
        <v>91</v>
      </c>
    </row>
    <row r="91" spans="1:29" x14ac:dyDescent="0.25">
      <c r="A91">
        <v>56</v>
      </c>
      <c r="B91" t="s">
        <v>49</v>
      </c>
      <c r="C91" t="s">
        <v>50</v>
      </c>
      <c r="D91" t="s">
        <v>12</v>
      </c>
      <c r="E91" t="s">
        <v>3</v>
      </c>
      <c r="F91" s="1">
        <v>44938</v>
      </c>
      <c r="G91" s="1">
        <v>45078</v>
      </c>
      <c r="H91">
        <f t="shared" si="15"/>
        <v>140</v>
      </c>
      <c r="J91">
        <v>31.5</v>
      </c>
      <c r="K91">
        <v>158</v>
      </c>
      <c r="L91">
        <v>1</v>
      </c>
      <c r="O91" s="2">
        <v>31.4</v>
      </c>
      <c r="P91" s="3">
        <v>1.3004</v>
      </c>
      <c r="Q91" s="4">
        <v>0.51203703703703696</v>
      </c>
      <c r="R91" s="4">
        <v>0.77777777777777779</v>
      </c>
      <c r="S91" s="2"/>
      <c r="T91" s="13"/>
      <c r="V91" s="10"/>
      <c r="W91" s="2" t="str">
        <f t="shared" si="16"/>
        <v>6:22:40</v>
      </c>
      <c r="Y91" s="12"/>
      <c r="AA91" s="10">
        <v>37.14</v>
      </c>
      <c r="AB91" s="10" t="s">
        <v>91</v>
      </c>
    </row>
    <row r="92" spans="1:29" x14ac:dyDescent="0.25">
      <c r="A92">
        <v>108</v>
      </c>
      <c r="B92" t="s">
        <v>62</v>
      </c>
      <c r="C92" t="s">
        <v>63</v>
      </c>
      <c r="D92" t="s">
        <v>12</v>
      </c>
      <c r="E92" t="s">
        <v>3</v>
      </c>
      <c r="F92" s="1">
        <v>44990</v>
      </c>
      <c r="G92" s="1">
        <v>45113</v>
      </c>
      <c r="H92">
        <f t="shared" si="15"/>
        <v>123</v>
      </c>
      <c r="I92" t="s">
        <v>38</v>
      </c>
      <c r="J92">
        <v>30</v>
      </c>
      <c r="K92">
        <v>354</v>
      </c>
      <c r="L92">
        <v>1</v>
      </c>
      <c r="M92">
        <v>4</v>
      </c>
      <c r="N92">
        <v>2</v>
      </c>
      <c r="O92" s="2">
        <v>33.51</v>
      </c>
      <c r="P92" s="3">
        <v>1.6424000000000001</v>
      </c>
      <c r="Q92" s="4">
        <v>0.48844907407407401</v>
      </c>
      <c r="R92" s="4">
        <v>0.74444444444444446</v>
      </c>
      <c r="T92" s="13"/>
      <c r="U92" s="10">
        <v>37.124000000000002</v>
      </c>
      <c r="V92" s="2"/>
      <c r="W92" s="2" t="str">
        <f t="shared" si="16"/>
        <v>6:08:38</v>
      </c>
      <c r="X92" s="10">
        <v>-2.92E-2</v>
      </c>
      <c r="Y92" s="12">
        <f t="shared" ref="Y92:Y100" si="19">U92-X92</f>
        <v>37.153200000000005</v>
      </c>
      <c r="AA92" s="10">
        <f t="shared" ref="AA92:AA100" si="20">AVERAGE(Y92,T92)</f>
        <v>37.153200000000005</v>
      </c>
      <c r="AB92" s="10" t="s">
        <v>90</v>
      </c>
      <c r="AC92" t="s">
        <v>71</v>
      </c>
    </row>
    <row r="93" spans="1:29" x14ac:dyDescent="0.25">
      <c r="A93">
        <v>108</v>
      </c>
      <c r="B93" t="s">
        <v>62</v>
      </c>
      <c r="C93" t="s">
        <v>63</v>
      </c>
      <c r="D93" t="s">
        <v>12</v>
      </c>
      <c r="E93" t="s">
        <v>3</v>
      </c>
      <c r="F93" s="1">
        <v>44990</v>
      </c>
      <c r="G93" s="1">
        <v>45113</v>
      </c>
      <c r="H93">
        <f t="shared" si="15"/>
        <v>123</v>
      </c>
      <c r="I93" t="s">
        <v>36</v>
      </c>
      <c r="J93">
        <v>31.5</v>
      </c>
      <c r="K93">
        <v>254</v>
      </c>
      <c r="L93">
        <v>1</v>
      </c>
      <c r="M93">
        <v>4</v>
      </c>
      <c r="N93">
        <v>2</v>
      </c>
      <c r="O93" s="2">
        <v>24.04</v>
      </c>
      <c r="P93" s="3">
        <v>0.59519999999999995</v>
      </c>
      <c r="Q93" s="4">
        <v>0.48844907407407401</v>
      </c>
      <c r="R93" s="4">
        <v>0.74444444444444446</v>
      </c>
      <c r="T93" s="13"/>
      <c r="U93" s="10">
        <v>37.124000000000002</v>
      </c>
      <c r="V93" s="2"/>
      <c r="W93" s="2" t="str">
        <f t="shared" si="16"/>
        <v>6:08:38</v>
      </c>
      <c r="X93" s="10">
        <v>-2.92E-2</v>
      </c>
      <c r="Y93" s="12">
        <f t="shared" si="19"/>
        <v>37.153200000000005</v>
      </c>
      <c r="AA93" s="10">
        <f t="shared" si="20"/>
        <v>37.153200000000005</v>
      </c>
      <c r="AB93" s="10" t="s">
        <v>90</v>
      </c>
      <c r="AC93" t="s">
        <v>71</v>
      </c>
    </row>
    <row r="94" spans="1:29" x14ac:dyDescent="0.25">
      <c r="A94">
        <v>108</v>
      </c>
      <c r="B94" t="s">
        <v>62</v>
      </c>
      <c r="C94" t="s">
        <v>63</v>
      </c>
      <c r="D94" t="s">
        <v>12</v>
      </c>
      <c r="E94" t="s">
        <v>3</v>
      </c>
      <c r="F94" s="1">
        <v>44990</v>
      </c>
      <c r="G94" s="1">
        <v>45113</v>
      </c>
      <c r="H94">
        <f t="shared" si="15"/>
        <v>123</v>
      </c>
      <c r="I94" t="s">
        <v>36</v>
      </c>
      <c r="J94">
        <v>31.5</v>
      </c>
      <c r="K94">
        <v>254</v>
      </c>
      <c r="L94">
        <v>1</v>
      </c>
      <c r="M94">
        <v>4</v>
      </c>
      <c r="N94">
        <v>1</v>
      </c>
      <c r="O94" s="2">
        <v>31.46</v>
      </c>
      <c r="P94" s="3">
        <v>1.4140999999999999</v>
      </c>
      <c r="Q94" s="4">
        <v>0.48844907407407401</v>
      </c>
      <c r="R94" s="4">
        <v>0.74444444444444446</v>
      </c>
      <c r="T94" s="13"/>
      <c r="U94" s="10">
        <v>37.124000000000002</v>
      </c>
      <c r="V94" s="2"/>
      <c r="W94" s="2" t="str">
        <f t="shared" si="16"/>
        <v>6:08:38</v>
      </c>
      <c r="X94" s="10">
        <v>-2.92E-2</v>
      </c>
      <c r="Y94" s="12">
        <f t="shared" si="19"/>
        <v>37.153200000000005</v>
      </c>
      <c r="AA94" s="10">
        <f t="shared" si="20"/>
        <v>37.153200000000005</v>
      </c>
      <c r="AB94" s="10" t="s">
        <v>90</v>
      </c>
      <c r="AC94" t="s">
        <v>71</v>
      </c>
    </row>
    <row r="95" spans="1:29" s="14" customFormat="1" x14ac:dyDescent="0.25">
      <c r="A95">
        <v>108</v>
      </c>
      <c r="B95" t="s">
        <v>62</v>
      </c>
      <c r="C95" t="s">
        <v>63</v>
      </c>
      <c r="D95" t="s">
        <v>12</v>
      </c>
      <c r="E95" t="s">
        <v>3</v>
      </c>
      <c r="F95" s="1">
        <v>44990</v>
      </c>
      <c r="G95" s="1">
        <v>45113</v>
      </c>
      <c r="H95">
        <f t="shared" si="15"/>
        <v>123</v>
      </c>
      <c r="I95" t="s">
        <v>36</v>
      </c>
      <c r="J95">
        <v>31.5</v>
      </c>
      <c r="K95">
        <v>254</v>
      </c>
      <c r="L95">
        <v>1</v>
      </c>
      <c r="M95">
        <v>4</v>
      </c>
      <c r="N95">
        <v>5</v>
      </c>
      <c r="O95" s="2">
        <v>31.49</v>
      </c>
      <c r="P95" s="3">
        <v>1.431</v>
      </c>
      <c r="Q95" s="4">
        <v>0.48844907407407401</v>
      </c>
      <c r="R95" s="4">
        <v>0.74861111111111101</v>
      </c>
      <c r="S95"/>
      <c r="T95" s="13">
        <v>37.1</v>
      </c>
      <c r="U95" s="10">
        <v>37.206000000000003</v>
      </c>
      <c r="V95" s="2">
        <f>U95-T95</f>
        <v>0.10600000000000165</v>
      </c>
      <c r="W95" s="2" t="str">
        <f t="shared" si="16"/>
        <v>6:14:38</v>
      </c>
      <c r="X95" s="10">
        <v>-2.92E-2</v>
      </c>
      <c r="Y95" s="12">
        <f t="shared" si="19"/>
        <v>37.235200000000006</v>
      </c>
      <c r="Z95" s="10">
        <f>Y95-T95</f>
        <v>0.13520000000000465</v>
      </c>
      <c r="AA95" s="10">
        <f t="shared" si="20"/>
        <v>37.167600000000007</v>
      </c>
      <c r="AB95" s="10" t="s">
        <v>90</v>
      </c>
      <c r="AC95" t="s">
        <v>71</v>
      </c>
    </row>
    <row r="96" spans="1:29" x14ac:dyDescent="0.25">
      <c r="A96">
        <v>96</v>
      </c>
      <c r="B96" t="s">
        <v>64</v>
      </c>
      <c r="C96" t="s">
        <v>65</v>
      </c>
      <c r="D96" t="s">
        <v>12</v>
      </c>
      <c r="E96" t="s">
        <v>3</v>
      </c>
      <c r="F96" s="1">
        <v>44980</v>
      </c>
      <c r="G96" s="1">
        <v>45119</v>
      </c>
      <c r="H96">
        <f t="shared" si="15"/>
        <v>139</v>
      </c>
      <c r="I96" t="s">
        <v>37</v>
      </c>
      <c r="J96">
        <v>30</v>
      </c>
      <c r="K96">
        <v>233</v>
      </c>
      <c r="L96">
        <v>2</v>
      </c>
      <c r="M96">
        <v>6</v>
      </c>
      <c r="N96">
        <v>4</v>
      </c>
      <c r="O96" s="2">
        <v>31.9</v>
      </c>
      <c r="P96" s="3">
        <v>1.4721</v>
      </c>
      <c r="Q96" s="4">
        <v>0.50962962962962999</v>
      </c>
      <c r="R96" s="4">
        <v>0.77083333333333337</v>
      </c>
      <c r="T96" s="13">
        <v>37.200000000000003</v>
      </c>
      <c r="U96" s="10">
        <v>37.151000000000003</v>
      </c>
      <c r="V96" s="2">
        <f>U96-T96</f>
        <v>-4.8999999999999488E-2</v>
      </c>
      <c r="W96" s="2" t="str">
        <f t="shared" si="16"/>
        <v>6:16:08</v>
      </c>
      <c r="X96" s="10">
        <v>0.01</v>
      </c>
      <c r="Y96" s="12">
        <f t="shared" si="19"/>
        <v>37.141000000000005</v>
      </c>
      <c r="Z96" s="10">
        <f>Y96-T96</f>
        <v>-5.8999999999997499E-2</v>
      </c>
      <c r="AA96" s="10">
        <f t="shared" si="20"/>
        <v>37.170500000000004</v>
      </c>
      <c r="AB96" s="10" t="s">
        <v>90</v>
      </c>
    </row>
    <row r="97" spans="1:29" x14ac:dyDescent="0.25">
      <c r="A97">
        <v>108</v>
      </c>
      <c r="B97" t="s">
        <v>62</v>
      </c>
      <c r="C97" t="s">
        <v>63</v>
      </c>
      <c r="D97" t="s">
        <v>12</v>
      </c>
      <c r="E97" t="s">
        <v>3</v>
      </c>
      <c r="F97" s="1">
        <v>44990</v>
      </c>
      <c r="G97" s="1">
        <v>45120</v>
      </c>
      <c r="H97">
        <f t="shared" si="15"/>
        <v>130</v>
      </c>
      <c r="I97" t="s">
        <v>37</v>
      </c>
      <c r="J97">
        <v>30</v>
      </c>
      <c r="K97">
        <v>330</v>
      </c>
      <c r="L97">
        <v>2</v>
      </c>
      <c r="M97">
        <v>3</v>
      </c>
      <c r="N97">
        <v>5</v>
      </c>
      <c r="O97" s="2">
        <v>33.08</v>
      </c>
      <c r="P97" s="3">
        <v>1.5813999999999999</v>
      </c>
      <c r="Q97" s="4">
        <v>0.493229166666667</v>
      </c>
      <c r="R97" s="4">
        <v>0.74861111111111101</v>
      </c>
      <c r="T97" s="13">
        <v>37.200000000000003</v>
      </c>
      <c r="U97" s="10">
        <v>37.177999999999997</v>
      </c>
      <c r="V97" s="2">
        <f>U97-T97</f>
        <v>-2.2000000000005571E-2</v>
      </c>
      <c r="W97" s="2" t="str">
        <f t="shared" si="16"/>
        <v>6:07:45</v>
      </c>
      <c r="X97" s="10">
        <v>2.3E-2</v>
      </c>
      <c r="Y97" s="12">
        <f t="shared" si="19"/>
        <v>37.154999999999994</v>
      </c>
      <c r="Z97" s="10">
        <f>Y97-T97</f>
        <v>-4.5000000000008811E-2</v>
      </c>
      <c r="AA97" s="10">
        <f t="shared" si="20"/>
        <v>37.177499999999995</v>
      </c>
      <c r="AB97" s="10" t="s">
        <v>90</v>
      </c>
    </row>
    <row r="98" spans="1:29" x14ac:dyDescent="0.25">
      <c r="A98">
        <v>108</v>
      </c>
      <c r="B98" t="s">
        <v>62</v>
      </c>
      <c r="C98" t="s">
        <v>63</v>
      </c>
      <c r="D98" t="s">
        <v>12</v>
      </c>
      <c r="E98" t="s">
        <v>3</v>
      </c>
      <c r="F98" s="1">
        <v>44990</v>
      </c>
      <c r="G98" s="1">
        <v>45120</v>
      </c>
      <c r="H98">
        <f t="shared" si="15"/>
        <v>130</v>
      </c>
      <c r="I98" t="s">
        <v>37</v>
      </c>
      <c r="J98">
        <v>30</v>
      </c>
      <c r="K98">
        <v>330</v>
      </c>
      <c r="L98">
        <v>2</v>
      </c>
      <c r="M98">
        <v>3</v>
      </c>
      <c r="N98">
        <v>2</v>
      </c>
      <c r="O98" s="2">
        <v>35.340000000000003</v>
      </c>
      <c r="P98" s="3">
        <v>1.8252999999999999</v>
      </c>
      <c r="Q98" s="4">
        <v>0.493229166666667</v>
      </c>
      <c r="R98" s="4">
        <v>0.74861111111111101</v>
      </c>
      <c r="T98" s="13">
        <v>37.200000000000003</v>
      </c>
      <c r="U98" s="10">
        <v>37.177999999999997</v>
      </c>
      <c r="V98" s="2">
        <f>U98-T98</f>
        <v>-2.2000000000005571E-2</v>
      </c>
      <c r="W98" s="2" t="str">
        <f t="shared" ref="W98:W129" si="21">TEXT(R98-Q98,"h:mm:ss")</f>
        <v>6:07:45</v>
      </c>
      <c r="X98" s="10">
        <v>2.3E-2</v>
      </c>
      <c r="Y98" s="12">
        <f t="shared" si="19"/>
        <v>37.154999999999994</v>
      </c>
      <c r="Z98" s="10">
        <f>Y98-T98</f>
        <v>-4.5000000000008811E-2</v>
      </c>
      <c r="AA98" s="10">
        <f t="shared" si="20"/>
        <v>37.177499999999995</v>
      </c>
      <c r="AB98" s="10" t="s">
        <v>90</v>
      </c>
    </row>
    <row r="99" spans="1:29" x14ac:dyDescent="0.25">
      <c r="A99">
        <v>108</v>
      </c>
      <c r="B99" t="s">
        <v>62</v>
      </c>
      <c r="C99" t="s">
        <v>63</v>
      </c>
      <c r="D99" t="s">
        <v>12</v>
      </c>
      <c r="E99" t="s">
        <v>3</v>
      </c>
      <c r="F99" s="1">
        <v>44990</v>
      </c>
      <c r="G99" s="1">
        <v>45113</v>
      </c>
      <c r="H99">
        <f t="shared" si="15"/>
        <v>123</v>
      </c>
      <c r="I99" t="s">
        <v>38</v>
      </c>
      <c r="J99">
        <v>30</v>
      </c>
      <c r="K99">
        <v>354</v>
      </c>
      <c r="L99">
        <v>1</v>
      </c>
      <c r="M99">
        <v>4</v>
      </c>
      <c r="N99">
        <v>1</v>
      </c>
      <c r="O99" s="2">
        <v>31.52</v>
      </c>
      <c r="P99" s="3">
        <v>1.3378000000000001</v>
      </c>
      <c r="Q99" s="4">
        <v>0.48844907407407401</v>
      </c>
      <c r="R99" s="4">
        <v>0.74583333333333324</v>
      </c>
      <c r="T99" s="13"/>
      <c r="U99" s="10">
        <v>37.151000000000003</v>
      </c>
      <c r="V99" s="2"/>
      <c r="W99" s="2" t="str">
        <f t="shared" si="21"/>
        <v>6:10:38</v>
      </c>
      <c r="X99" s="10">
        <v>-2.92E-2</v>
      </c>
      <c r="Y99" s="12">
        <f t="shared" si="19"/>
        <v>37.180200000000006</v>
      </c>
      <c r="AA99" s="10">
        <f t="shared" si="20"/>
        <v>37.180200000000006</v>
      </c>
      <c r="AB99" s="10" t="s">
        <v>90</v>
      </c>
      <c r="AC99" t="s">
        <v>71</v>
      </c>
    </row>
    <row r="100" spans="1:29" x14ac:dyDescent="0.25">
      <c r="A100">
        <v>108</v>
      </c>
      <c r="B100" t="s">
        <v>62</v>
      </c>
      <c r="C100" t="s">
        <v>63</v>
      </c>
      <c r="D100" t="s">
        <v>12</v>
      </c>
      <c r="E100" t="s">
        <v>3</v>
      </c>
      <c r="F100" s="1">
        <v>44990</v>
      </c>
      <c r="G100" s="1">
        <v>45113</v>
      </c>
      <c r="H100">
        <f t="shared" si="15"/>
        <v>123</v>
      </c>
      <c r="I100" t="s">
        <v>38</v>
      </c>
      <c r="J100">
        <v>30</v>
      </c>
      <c r="K100">
        <v>354</v>
      </c>
      <c r="L100">
        <v>1</v>
      </c>
      <c r="M100">
        <v>4</v>
      </c>
      <c r="N100">
        <v>5</v>
      </c>
      <c r="O100" s="2">
        <v>31.41</v>
      </c>
      <c r="P100" s="3">
        <v>1.353</v>
      </c>
      <c r="Q100" s="4">
        <v>0.48844907407407401</v>
      </c>
      <c r="R100" s="4">
        <v>0.74583333333333324</v>
      </c>
      <c r="T100" s="13"/>
      <c r="U100" s="10">
        <v>37.151000000000003</v>
      </c>
      <c r="V100" s="2"/>
      <c r="W100" s="2" t="str">
        <f t="shared" si="21"/>
        <v>6:10:38</v>
      </c>
      <c r="X100" s="10">
        <v>-2.92E-2</v>
      </c>
      <c r="Y100" s="12">
        <f t="shared" si="19"/>
        <v>37.180200000000006</v>
      </c>
      <c r="AA100" s="10">
        <f t="shared" si="20"/>
        <v>37.180200000000006</v>
      </c>
      <c r="AB100" s="10" t="s">
        <v>90</v>
      </c>
      <c r="AC100" t="s">
        <v>71</v>
      </c>
    </row>
    <row r="101" spans="1:29" x14ac:dyDescent="0.25">
      <c r="A101">
        <v>99</v>
      </c>
      <c r="B101" t="s">
        <v>57</v>
      </c>
      <c r="C101" t="s">
        <v>58</v>
      </c>
      <c r="D101" t="s">
        <v>12</v>
      </c>
      <c r="E101" t="s">
        <v>3</v>
      </c>
      <c r="F101" s="1">
        <v>44980</v>
      </c>
      <c r="G101" s="1">
        <v>45112</v>
      </c>
      <c r="H101">
        <f t="shared" si="15"/>
        <v>132</v>
      </c>
      <c r="J101">
        <v>31.5</v>
      </c>
      <c r="K101">
        <v>324</v>
      </c>
      <c r="L101">
        <v>2</v>
      </c>
      <c r="O101" s="2">
        <v>34.81</v>
      </c>
      <c r="P101" s="3">
        <v>1.6044</v>
      </c>
      <c r="Q101" s="4">
        <v>0.54166666666666696</v>
      </c>
      <c r="R101" s="4">
        <v>0.8041666666666667</v>
      </c>
      <c r="S101" s="2"/>
      <c r="T101" s="13"/>
      <c r="V101" s="10"/>
      <c r="W101" s="2" t="str">
        <f t="shared" si="21"/>
        <v>6:18:00</v>
      </c>
      <c r="Y101" s="12"/>
      <c r="AA101" s="10">
        <v>37.19</v>
      </c>
      <c r="AB101" s="10" t="s">
        <v>91</v>
      </c>
    </row>
    <row r="102" spans="1:29" x14ac:dyDescent="0.25">
      <c r="A102">
        <v>108</v>
      </c>
      <c r="B102" t="s">
        <v>62</v>
      </c>
      <c r="C102" t="s">
        <v>63</v>
      </c>
      <c r="D102" t="s">
        <v>12</v>
      </c>
      <c r="E102" t="s">
        <v>3</v>
      </c>
      <c r="F102" s="1">
        <v>44990</v>
      </c>
      <c r="G102" s="1">
        <v>45120</v>
      </c>
      <c r="H102">
        <f t="shared" si="15"/>
        <v>130</v>
      </c>
      <c r="I102" t="s">
        <v>36</v>
      </c>
      <c r="J102">
        <v>28.5</v>
      </c>
      <c r="K102">
        <v>236</v>
      </c>
      <c r="L102">
        <v>1</v>
      </c>
      <c r="M102">
        <v>3</v>
      </c>
      <c r="N102">
        <v>5</v>
      </c>
      <c r="O102" s="2">
        <v>32.78</v>
      </c>
      <c r="P102" s="3">
        <v>1.4621</v>
      </c>
      <c r="Q102" s="4">
        <v>0.493229166666667</v>
      </c>
      <c r="R102" s="4">
        <v>0.75069444444444444</v>
      </c>
      <c r="T102" s="13"/>
      <c r="U102" s="10">
        <v>37.232999999999997</v>
      </c>
      <c r="V102" s="2"/>
      <c r="W102" s="2" t="str">
        <f t="shared" si="21"/>
        <v>6:10:45</v>
      </c>
      <c r="X102" s="10">
        <v>2.3E-2</v>
      </c>
      <c r="Y102" s="12">
        <f t="shared" ref="Y102:Y117" si="22">U102-X102</f>
        <v>37.209999999999994</v>
      </c>
      <c r="AA102" s="10">
        <f t="shared" ref="AA102:AA127" si="23">AVERAGE(Y102,T102)</f>
        <v>37.209999999999994</v>
      </c>
      <c r="AB102" s="10" t="s">
        <v>90</v>
      </c>
    </row>
    <row r="103" spans="1:29" x14ac:dyDescent="0.25">
      <c r="A103">
        <v>108</v>
      </c>
      <c r="B103" t="s">
        <v>62</v>
      </c>
      <c r="C103" t="s">
        <v>63</v>
      </c>
      <c r="D103" t="s">
        <v>12</v>
      </c>
      <c r="E103" t="s">
        <v>3</v>
      </c>
      <c r="F103" s="1">
        <v>44990</v>
      </c>
      <c r="G103" s="1">
        <v>45120</v>
      </c>
      <c r="H103">
        <f t="shared" si="15"/>
        <v>130</v>
      </c>
      <c r="I103" t="s">
        <v>37</v>
      </c>
      <c r="J103">
        <v>30</v>
      </c>
      <c r="K103">
        <v>330</v>
      </c>
      <c r="L103">
        <v>2</v>
      </c>
      <c r="M103">
        <v>3</v>
      </c>
      <c r="N103">
        <v>4</v>
      </c>
      <c r="O103" s="2">
        <v>32.36</v>
      </c>
      <c r="P103" s="3">
        <v>1.3183</v>
      </c>
      <c r="Q103" s="4">
        <v>0.493229166666667</v>
      </c>
      <c r="R103" s="4">
        <v>0.75069444444444444</v>
      </c>
      <c r="T103" s="13"/>
      <c r="U103" s="10">
        <v>37.232999999999997</v>
      </c>
      <c r="V103" s="2"/>
      <c r="W103" s="2" t="str">
        <f t="shared" si="21"/>
        <v>6:10:45</v>
      </c>
      <c r="X103" s="10">
        <v>2.3E-2</v>
      </c>
      <c r="Y103" s="12">
        <f t="shared" si="22"/>
        <v>37.209999999999994</v>
      </c>
      <c r="AA103" s="10">
        <f t="shared" si="23"/>
        <v>37.209999999999994</v>
      </c>
      <c r="AB103" s="10" t="s">
        <v>90</v>
      </c>
    </row>
    <row r="104" spans="1:29" x14ac:dyDescent="0.25">
      <c r="A104">
        <v>99</v>
      </c>
      <c r="B104" t="s">
        <v>57</v>
      </c>
      <c r="C104" t="s">
        <v>58</v>
      </c>
      <c r="D104" t="s">
        <v>12</v>
      </c>
      <c r="E104" t="s">
        <v>3</v>
      </c>
      <c r="F104" s="1">
        <v>44980</v>
      </c>
      <c r="G104" s="1">
        <v>45113</v>
      </c>
      <c r="H104">
        <f t="shared" si="15"/>
        <v>133</v>
      </c>
      <c r="I104" t="s">
        <v>36</v>
      </c>
      <c r="J104">
        <v>31.5</v>
      </c>
      <c r="K104">
        <v>324</v>
      </c>
      <c r="L104">
        <v>2</v>
      </c>
      <c r="M104">
        <v>2</v>
      </c>
      <c r="N104">
        <v>5</v>
      </c>
      <c r="O104" s="2">
        <v>35.85</v>
      </c>
      <c r="P104" s="3">
        <v>1.9695</v>
      </c>
      <c r="Q104" s="4">
        <v>0.48844907407407401</v>
      </c>
      <c r="R104" s="4">
        <v>0.74583333333333324</v>
      </c>
      <c r="T104" s="13"/>
      <c r="U104" s="10">
        <v>37.287999999999997</v>
      </c>
      <c r="V104" s="2"/>
      <c r="W104" s="2" t="str">
        <f t="shared" si="21"/>
        <v>6:10:38</v>
      </c>
      <c r="X104" s="10">
        <v>7.6700000000000004E-2</v>
      </c>
      <c r="Y104" s="12">
        <f t="shared" si="22"/>
        <v>37.211299999999994</v>
      </c>
      <c r="AA104" s="10">
        <f t="shared" si="23"/>
        <v>37.211299999999994</v>
      </c>
      <c r="AB104" s="10" t="s">
        <v>90</v>
      </c>
    </row>
    <row r="105" spans="1:29" x14ac:dyDescent="0.25">
      <c r="A105">
        <v>99</v>
      </c>
      <c r="B105" t="s">
        <v>57</v>
      </c>
      <c r="C105" t="s">
        <v>58</v>
      </c>
      <c r="D105" t="s">
        <v>12</v>
      </c>
      <c r="E105" t="s">
        <v>3</v>
      </c>
      <c r="F105" s="1">
        <v>44980</v>
      </c>
      <c r="G105" s="1">
        <v>45120</v>
      </c>
      <c r="H105">
        <f t="shared" si="15"/>
        <v>140</v>
      </c>
      <c r="I105" t="s">
        <v>38</v>
      </c>
      <c r="J105">
        <v>31.5</v>
      </c>
      <c r="K105">
        <v>258</v>
      </c>
      <c r="L105">
        <v>1</v>
      </c>
      <c r="M105">
        <v>4</v>
      </c>
      <c r="N105">
        <v>1</v>
      </c>
      <c r="O105" s="2">
        <v>34.19</v>
      </c>
      <c r="P105" s="3">
        <v>1.7552000000000001</v>
      </c>
      <c r="Q105" s="4">
        <v>0.493229166666667</v>
      </c>
      <c r="R105" s="4">
        <v>0.75138888888888899</v>
      </c>
      <c r="T105" s="13">
        <v>37.299999999999997</v>
      </c>
      <c r="U105" s="10">
        <v>37.177999999999997</v>
      </c>
      <c r="V105" s="2">
        <f>U105-T105</f>
        <v>-0.12199999999999989</v>
      </c>
      <c r="W105" s="2" t="str">
        <f t="shared" si="21"/>
        <v>6:11:45</v>
      </c>
      <c r="X105" s="10">
        <v>1.7999999999999999E-2</v>
      </c>
      <c r="Y105" s="12">
        <f t="shared" si="22"/>
        <v>37.159999999999997</v>
      </c>
      <c r="Z105" s="10">
        <f>Y105-T105</f>
        <v>-0.14000000000000057</v>
      </c>
      <c r="AA105" s="10">
        <f t="shared" si="23"/>
        <v>37.229999999999997</v>
      </c>
      <c r="AB105" s="10" t="s">
        <v>90</v>
      </c>
    </row>
    <row r="106" spans="1:29" x14ac:dyDescent="0.25">
      <c r="A106">
        <v>108</v>
      </c>
      <c r="B106" t="s">
        <v>62</v>
      </c>
      <c r="C106" t="s">
        <v>63</v>
      </c>
      <c r="D106" t="s">
        <v>12</v>
      </c>
      <c r="E106" t="s">
        <v>3</v>
      </c>
      <c r="F106" s="1">
        <v>44990</v>
      </c>
      <c r="G106" s="1">
        <v>45120</v>
      </c>
      <c r="H106">
        <f t="shared" si="15"/>
        <v>130</v>
      </c>
      <c r="I106" t="s">
        <v>36</v>
      </c>
      <c r="J106">
        <v>28.5</v>
      </c>
      <c r="K106">
        <v>236</v>
      </c>
      <c r="L106">
        <v>1</v>
      </c>
      <c r="M106">
        <v>3</v>
      </c>
      <c r="N106">
        <v>3</v>
      </c>
      <c r="O106" s="2">
        <v>35.76</v>
      </c>
      <c r="P106" s="3">
        <v>1.8208</v>
      </c>
      <c r="Q106" s="4">
        <v>0.493229166666667</v>
      </c>
      <c r="R106" s="4">
        <v>0.75208333333333333</v>
      </c>
      <c r="T106" s="13"/>
      <c r="U106" s="10">
        <v>37.261000000000003</v>
      </c>
      <c r="V106" s="2"/>
      <c r="W106" s="2" t="str">
        <f t="shared" si="21"/>
        <v>6:12:45</v>
      </c>
      <c r="X106" s="10">
        <v>2.3E-2</v>
      </c>
      <c r="Y106" s="12">
        <f t="shared" si="22"/>
        <v>37.238</v>
      </c>
      <c r="AA106" s="10">
        <f t="shared" si="23"/>
        <v>37.238</v>
      </c>
      <c r="AB106" s="10" t="s">
        <v>90</v>
      </c>
    </row>
    <row r="107" spans="1:29" x14ac:dyDescent="0.25">
      <c r="A107">
        <v>108</v>
      </c>
      <c r="B107" t="s">
        <v>62</v>
      </c>
      <c r="C107" t="s">
        <v>63</v>
      </c>
      <c r="D107" t="s">
        <v>12</v>
      </c>
      <c r="E107" t="s">
        <v>3</v>
      </c>
      <c r="F107" s="1">
        <v>44990</v>
      </c>
      <c r="G107" s="1">
        <v>45120</v>
      </c>
      <c r="H107">
        <f t="shared" si="15"/>
        <v>130</v>
      </c>
      <c r="I107" t="s">
        <v>38</v>
      </c>
      <c r="J107">
        <v>31.5</v>
      </c>
      <c r="K107">
        <v>254</v>
      </c>
      <c r="L107">
        <v>1</v>
      </c>
      <c r="M107">
        <v>3</v>
      </c>
      <c r="N107">
        <v>5</v>
      </c>
      <c r="O107" s="2">
        <v>30.81</v>
      </c>
      <c r="P107" s="3">
        <v>1.1646000000000001</v>
      </c>
      <c r="Q107" s="4">
        <v>0.493229166666667</v>
      </c>
      <c r="R107" s="4">
        <v>0.75208333333333333</v>
      </c>
      <c r="T107" s="13"/>
      <c r="U107" s="10">
        <v>37.261000000000003</v>
      </c>
      <c r="V107" s="2"/>
      <c r="W107" s="2" t="str">
        <f t="shared" si="21"/>
        <v>6:12:45</v>
      </c>
      <c r="X107" s="10">
        <v>2.3E-2</v>
      </c>
      <c r="Y107" s="12">
        <f t="shared" si="22"/>
        <v>37.238</v>
      </c>
      <c r="AA107" s="10">
        <f t="shared" si="23"/>
        <v>37.238</v>
      </c>
      <c r="AB107" s="10" t="s">
        <v>90</v>
      </c>
    </row>
    <row r="108" spans="1:29" x14ac:dyDescent="0.25">
      <c r="A108">
        <v>108</v>
      </c>
      <c r="B108" t="s">
        <v>62</v>
      </c>
      <c r="C108" t="s">
        <v>63</v>
      </c>
      <c r="D108" t="s">
        <v>12</v>
      </c>
      <c r="E108" t="s">
        <v>3</v>
      </c>
      <c r="F108" s="1">
        <v>44990</v>
      </c>
      <c r="G108" s="1">
        <v>45113</v>
      </c>
      <c r="H108">
        <f t="shared" si="15"/>
        <v>123</v>
      </c>
      <c r="I108" t="s">
        <v>36</v>
      </c>
      <c r="J108">
        <v>31.5</v>
      </c>
      <c r="K108">
        <v>254</v>
      </c>
      <c r="L108">
        <v>1</v>
      </c>
      <c r="M108">
        <v>4</v>
      </c>
      <c r="N108">
        <v>3</v>
      </c>
      <c r="O108" s="2">
        <v>29.71</v>
      </c>
      <c r="P108" s="3">
        <v>1.2158</v>
      </c>
      <c r="Q108" s="4">
        <v>0.48844907407407401</v>
      </c>
      <c r="R108" s="4">
        <v>0.75</v>
      </c>
      <c r="T108" s="13">
        <v>37.200000000000003</v>
      </c>
      <c r="U108" s="10">
        <v>37.261000000000003</v>
      </c>
      <c r="V108" s="2">
        <f>U108-T108</f>
        <v>6.0999999999999943E-2</v>
      </c>
      <c r="W108" s="2" t="str">
        <f t="shared" si="21"/>
        <v>6:16:38</v>
      </c>
      <c r="X108" s="10">
        <v>-2.92E-2</v>
      </c>
      <c r="Y108" s="12">
        <f t="shared" si="22"/>
        <v>37.290200000000006</v>
      </c>
      <c r="Z108" s="10">
        <f>Y108-T108</f>
        <v>9.0200000000002944E-2</v>
      </c>
      <c r="AA108" s="10">
        <f t="shared" si="23"/>
        <v>37.245100000000008</v>
      </c>
      <c r="AB108" s="10" t="s">
        <v>90</v>
      </c>
      <c r="AC108" t="s">
        <v>71</v>
      </c>
    </row>
    <row r="109" spans="1:29" x14ac:dyDescent="0.25">
      <c r="A109">
        <v>56</v>
      </c>
      <c r="B109" t="s">
        <v>49</v>
      </c>
      <c r="C109" t="s">
        <v>50</v>
      </c>
      <c r="D109" t="s">
        <v>12</v>
      </c>
      <c r="E109" t="s">
        <v>3</v>
      </c>
      <c r="F109" s="1">
        <v>44938</v>
      </c>
      <c r="G109" s="1">
        <v>45083</v>
      </c>
      <c r="H109">
        <f t="shared" si="15"/>
        <v>145</v>
      </c>
      <c r="I109" t="s">
        <v>37</v>
      </c>
      <c r="J109">
        <v>30</v>
      </c>
      <c r="K109">
        <v>131</v>
      </c>
      <c r="L109">
        <v>2</v>
      </c>
      <c r="M109">
        <v>4</v>
      </c>
      <c r="N109">
        <v>5</v>
      </c>
      <c r="O109" s="2">
        <v>27.17</v>
      </c>
      <c r="P109" s="3">
        <v>0.80100000000000005</v>
      </c>
      <c r="Q109" s="4">
        <v>0.44003472222222201</v>
      </c>
      <c r="R109" s="4">
        <v>0.72187499999999993</v>
      </c>
      <c r="S109" s="2"/>
      <c r="T109" s="13"/>
      <c r="U109" s="10">
        <v>37.2577</v>
      </c>
      <c r="V109" s="2"/>
      <c r="W109" s="2" t="str">
        <f t="shared" si="21"/>
        <v>6:45:51</v>
      </c>
      <c r="X109" s="10">
        <v>7.3099999999999997E-3</v>
      </c>
      <c r="Y109" s="12">
        <f t="shared" si="22"/>
        <v>37.250390000000003</v>
      </c>
      <c r="AA109" s="10">
        <f t="shared" si="23"/>
        <v>37.250390000000003</v>
      </c>
      <c r="AB109" s="10" t="s">
        <v>90</v>
      </c>
    </row>
    <row r="110" spans="1:29" x14ac:dyDescent="0.25">
      <c r="A110">
        <v>56</v>
      </c>
      <c r="B110" t="s">
        <v>49</v>
      </c>
      <c r="C110" t="s">
        <v>50</v>
      </c>
      <c r="D110" t="s">
        <v>12</v>
      </c>
      <c r="E110" t="s">
        <v>3</v>
      </c>
      <c r="F110" s="1">
        <v>44938</v>
      </c>
      <c r="G110" s="1">
        <v>45083</v>
      </c>
      <c r="H110">
        <f t="shared" si="15"/>
        <v>145</v>
      </c>
      <c r="I110" t="s">
        <v>37</v>
      </c>
      <c r="J110">
        <v>30</v>
      </c>
      <c r="K110">
        <v>131</v>
      </c>
      <c r="L110">
        <v>2</v>
      </c>
      <c r="M110">
        <v>4</v>
      </c>
      <c r="N110">
        <v>4</v>
      </c>
      <c r="O110" s="2">
        <v>34.49</v>
      </c>
      <c r="P110" s="3">
        <v>1.6060000000000001</v>
      </c>
      <c r="Q110" s="4">
        <v>0.44003472222222201</v>
      </c>
      <c r="R110" s="4">
        <v>0.72187499999999993</v>
      </c>
      <c r="S110" s="2"/>
      <c r="T110" s="13"/>
      <c r="U110" s="10">
        <v>37.2577</v>
      </c>
      <c r="V110" s="2"/>
      <c r="W110" s="2" t="str">
        <f t="shared" si="21"/>
        <v>6:45:51</v>
      </c>
      <c r="X110" s="10">
        <v>7.3099999999999997E-3</v>
      </c>
      <c r="Y110" s="12">
        <f t="shared" si="22"/>
        <v>37.250390000000003</v>
      </c>
      <c r="AA110" s="10">
        <f t="shared" si="23"/>
        <v>37.250390000000003</v>
      </c>
      <c r="AB110" s="10" t="s">
        <v>90</v>
      </c>
    </row>
    <row r="111" spans="1:29" x14ac:dyDescent="0.25">
      <c r="A111">
        <v>56</v>
      </c>
      <c r="B111" t="s">
        <v>49</v>
      </c>
      <c r="C111" t="s">
        <v>50</v>
      </c>
      <c r="D111" t="s">
        <v>12</v>
      </c>
      <c r="E111" t="s">
        <v>3</v>
      </c>
      <c r="F111" s="1">
        <v>44938</v>
      </c>
      <c r="G111" s="1">
        <v>45083</v>
      </c>
      <c r="H111">
        <f t="shared" si="15"/>
        <v>145</v>
      </c>
      <c r="I111" t="s">
        <v>37</v>
      </c>
      <c r="J111">
        <v>30</v>
      </c>
      <c r="K111">
        <v>131</v>
      </c>
      <c r="L111">
        <v>2</v>
      </c>
      <c r="M111">
        <v>4</v>
      </c>
      <c r="N111">
        <v>3</v>
      </c>
      <c r="O111" s="2">
        <v>35.840000000000003</v>
      </c>
      <c r="P111" s="3">
        <v>1.8169999999999999</v>
      </c>
      <c r="Q111" s="4">
        <v>0.44003472222222201</v>
      </c>
      <c r="R111" s="4">
        <v>0.72187499999999993</v>
      </c>
      <c r="S111" s="2"/>
      <c r="T111" s="13"/>
      <c r="U111" s="10">
        <v>37.2577</v>
      </c>
      <c r="V111" s="2"/>
      <c r="W111" s="2" t="str">
        <f t="shared" si="21"/>
        <v>6:45:51</v>
      </c>
      <c r="X111" s="10">
        <v>7.3099999999999997E-3</v>
      </c>
      <c r="Y111" s="12">
        <f t="shared" si="22"/>
        <v>37.250390000000003</v>
      </c>
      <c r="AA111" s="10">
        <f t="shared" si="23"/>
        <v>37.250390000000003</v>
      </c>
      <c r="AB111" s="10" t="s">
        <v>90</v>
      </c>
    </row>
    <row r="112" spans="1:29" x14ac:dyDescent="0.25">
      <c r="A112">
        <v>56</v>
      </c>
      <c r="B112" t="s">
        <v>49</v>
      </c>
      <c r="C112" t="s">
        <v>50</v>
      </c>
      <c r="D112" t="s">
        <v>12</v>
      </c>
      <c r="E112" t="s">
        <v>3</v>
      </c>
      <c r="F112" s="1">
        <v>44938</v>
      </c>
      <c r="G112" s="1">
        <v>45083</v>
      </c>
      <c r="H112">
        <f t="shared" si="15"/>
        <v>145</v>
      </c>
      <c r="I112" t="s">
        <v>38</v>
      </c>
      <c r="J112">
        <v>31.5</v>
      </c>
      <c r="K112">
        <v>225</v>
      </c>
      <c r="L112">
        <v>2</v>
      </c>
      <c r="M112">
        <v>4</v>
      </c>
      <c r="N112">
        <v>3</v>
      </c>
      <c r="O112" s="2">
        <v>33</v>
      </c>
      <c r="P112" s="3">
        <v>1.4209000000000001</v>
      </c>
      <c r="Q112" s="4">
        <v>0.44003472222222201</v>
      </c>
      <c r="R112" s="4">
        <v>0.72187499999999993</v>
      </c>
      <c r="S112" s="2"/>
      <c r="T112" s="13"/>
      <c r="U112" s="10">
        <v>37.2577</v>
      </c>
      <c r="V112" s="2"/>
      <c r="W112" s="2" t="str">
        <f t="shared" si="21"/>
        <v>6:45:51</v>
      </c>
      <c r="X112" s="10">
        <v>7.3099999999999997E-3</v>
      </c>
      <c r="Y112" s="12">
        <f t="shared" si="22"/>
        <v>37.250390000000003</v>
      </c>
      <c r="AA112" s="10">
        <f t="shared" si="23"/>
        <v>37.250390000000003</v>
      </c>
      <c r="AB112" s="10" t="s">
        <v>90</v>
      </c>
    </row>
    <row r="113" spans="1:29" x14ac:dyDescent="0.25">
      <c r="A113">
        <v>108</v>
      </c>
      <c r="B113" t="s">
        <v>62</v>
      </c>
      <c r="C113" t="s">
        <v>63</v>
      </c>
      <c r="D113" t="s">
        <v>12</v>
      </c>
      <c r="E113" t="s">
        <v>3</v>
      </c>
      <c r="F113" s="1">
        <v>44990</v>
      </c>
      <c r="G113" s="1">
        <v>45113</v>
      </c>
      <c r="H113">
        <f t="shared" si="15"/>
        <v>123</v>
      </c>
      <c r="I113" t="s">
        <v>36</v>
      </c>
      <c r="J113">
        <v>31.5</v>
      </c>
      <c r="K113">
        <v>254</v>
      </c>
      <c r="L113">
        <v>1</v>
      </c>
      <c r="M113">
        <v>4</v>
      </c>
      <c r="N113">
        <v>4</v>
      </c>
      <c r="O113" s="2">
        <v>27.48</v>
      </c>
      <c r="P113" s="3">
        <v>0.92120000000000002</v>
      </c>
      <c r="Q113" s="4">
        <v>0.48844907407407401</v>
      </c>
      <c r="R113" s="4">
        <v>0.75208333333333333</v>
      </c>
      <c r="T113" s="13">
        <v>37.200000000000003</v>
      </c>
      <c r="U113" s="10">
        <v>37.287999999999997</v>
      </c>
      <c r="V113" s="2">
        <f>U113-T113</f>
        <v>8.7999999999993861E-2</v>
      </c>
      <c r="W113" s="2" t="str">
        <f t="shared" si="21"/>
        <v>6:19:38</v>
      </c>
      <c r="X113" s="10">
        <v>-2.92E-2</v>
      </c>
      <c r="Y113" s="12">
        <f t="shared" si="22"/>
        <v>37.3172</v>
      </c>
      <c r="Z113" s="10">
        <f>Y113-T113</f>
        <v>0.11719999999999686</v>
      </c>
      <c r="AA113" s="10">
        <f t="shared" si="23"/>
        <v>37.258600000000001</v>
      </c>
      <c r="AB113" s="10" t="s">
        <v>90</v>
      </c>
      <c r="AC113" t="s">
        <v>71</v>
      </c>
    </row>
    <row r="114" spans="1:29" x14ac:dyDescent="0.25">
      <c r="A114">
        <v>108</v>
      </c>
      <c r="B114" t="s">
        <v>62</v>
      </c>
      <c r="C114" t="s">
        <v>63</v>
      </c>
      <c r="D114" t="s">
        <v>12</v>
      </c>
      <c r="E114" t="s">
        <v>3</v>
      </c>
      <c r="F114" s="1">
        <v>44990</v>
      </c>
      <c r="G114" s="1">
        <v>45120</v>
      </c>
      <c r="H114">
        <f t="shared" si="15"/>
        <v>130</v>
      </c>
      <c r="I114" t="s">
        <v>38</v>
      </c>
      <c r="J114">
        <v>31.5</v>
      </c>
      <c r="K114">
        <v>254</v>
      </c>
      <c r="L114">
        <v>1</v>
      </c>
      <c r="M114">
        <v>3</v>
      </c>
      <c r="N114">
        <v>2</v>
      </c>
      <c r="O114" s="2">
        <v>29.3</v>
      </c>
      <c r="P114" s="3">
        <v>1.0295000000000001</v>
      </c>
      <c r="Q114" s="4">
        <v>0.493229166666667</v>
      </c>
      <c r="R114" s="4">
        <v>0.75486111111111109</v>
      </c>
      <c r="T114" s="13"/>
      <c r="U114" s="10">
        <v>37.314999999999998</v>
      </c>
      <c r="V114" s="2"/>
      <c r="W114" s="2" t="str">
        <f t="shared" si="21"/>
        <v>6:16:45</v>
      </c>
      <c r="X114" s="10">
        <v>2.3E-2</v>
      </c>
      <c r="Y114" s="12">
        <f t="shared" si="22"/>
        <v>37.291999999999994</v>
      </c>
      <c r="AA114" s="10">
        <f t="shared" si="23"/>
        <v>37.291999999999994</v>
      </c>
      <c r="AB114" s="10" t="s">
        <v>90</v>
      </c>
    </row>
    <row r="115" spans="1:29" x14ac:dyDescent="0.25">
      <c r="A115">
        <v>108</v>
      </c>
      <c r="B115" t="s">
        <v>62</v>
      </c>
      <c r="C115" t="s">
        <v>63</v>
      </c>
      <c r="D115" t="s">
        <v>12</v>
      </c>
      <c r="E115" t="s">
        <v>3</v>
      </c>
      <c r="F115" s="1">
        <v>44990</v>
      </c>
      <c r="G115" s="1">
        <v>45120</v>
      </c>
      <c r="H115">
        <f t="shared" si="15"/>
        <v>130</v>
      </c>
      <c r="I115" t="s">
        <v>38</v>
      </c>
      <c r="J115">
        <v>31.5</v>
      </c>
      <c r="K115">
        <v>254</v>
      </c>
      <c r="L115">
        <v>1</v>
      </c>
      <c r="M115">
        <v>3</v>
      </c>
      <c r="N115">
        <v>3</v>
      </c>
      <c r="O115" s="2">
        <v>29.53</v>
      </c>
      <c r="P115" s="3">
        <v>1.097</v>
      </c>
      <c r="Q115" s="4">
        <v>0.493229166666667</v>
      </c>
      <c r="R115" s="4">
        <v>0.75486111111111109</v>
      </c>
      <c r="T115" s="13"/>
      <c r="U115" s="10">
        <v>37.314999999999998</v>
      </c>
      <c r="V115" s="2"/>
      <c r="W115" s="2" t="str">
        <f t="shared" si="21"/>
        <v>6:16:45</v>
      </c>
      <c r="X115" s="10">
        <v>2.3E-2</v>
      </c>
      <c r="Y115" s="12">
        <f t="shared" si="22"/>
        <v>37.291999999999994</v>
      </c>
      <c r="AA115" s="10">
        <f t="shared" si="23"/>
        <v>37.291999999999994</v>
      </c>
      <c r="AB115" s="10" t="s">
        <v>90</v>
      </c>
    </row>
    <row r="116" spans="1:29" x14ac:dyDescent="0.25">
      <c r="A116">
        <v>108</v>
      </c>
      <c r="B116" t="s">
        <v>62</v>
      </c>
      <c r="C116" t="s">
        <v>63</v>
      </c>
      <c r="D116" t="s">
        <v>12</v>
      </c>
      <c r="E116" t="s">
        <v>3</v>
      </c>
      <c r="F116" s="1">
        <v>44990</v>
      </c>
      <c r="G116" s="1">
        <v>45120</v>
      </c>
      <c r="H116">
        <f t="shared" si="15"/>
        <v>130</v>
      </c>
      <c r="I116" t="s">
        <v>38</v>
      </c>
      <c r="J116">
        <v>31.5</v>
      </c>
      <c r="K116">
        <v>254</v>
      </c>
      <c r="L116">
        <v>1</v>
      </c>
      <c r="M116">
        <v>3</v>
      </c>
      <c r="N116">
        <v>1</v>
      </c>
      <c r="O116" s="2">
        <v>35.200000000000003</v>
      </c>
      <c r="P116" s="3">
        <v>1.8240000000000001</v>
      </c>
      <c r="Q116" s="4">
        <v>0.493229166666667</v>
      </c>
      <c r="R116" s="4">
        <v>0.75486111111111109</v>
      </c>
      <c r="T116" s="13"/>
      <c r="U116" s="10">
        <v>37.314999999999998</v>
      </c>
      <c r="V116" s="2"/>
      <c r="W116" s="2" t="str">
        <f t="shared" si="21"/>
        <v>6:16:45</v>
      </c>
      <c r="X116" s="10">
        <v>2.3E-2</v>
      </c>
      <c r="Y116" s="12">
        <f t="shared" si="22"/>
        <v>37.291999999999994</v>
      </c>
      <c r="AA116" s="10">
        <f t="shared" si="23"/>
        <v>37.291999999999994</v>
      </c>
      <c r="AB116" s="10" t="s">
        <v>90</v>
      </c>
    </row>
    <row r="117" spans="1:29" x14ac:dyDescent="0.25">
      <c r="A117">
        <v>96</v>
      </c>
      <c r="B117" t="s">
        <v>64</v>
      </c>
      <c r="C117" t="s">
        <v>65</v>
      </c>
      <c r="D117" t="s">
        <v>12</v>
      </c>
      <c r="E117" t="s">
        <v>3</v>
      </c>
      <c r="F117" s="1">
        <v>44980</v>
      </c>
      <c r="G117" s="1">
        <v>45113</v>
      </c>
      <c r="H117">
        <f t="shared" si="15"/>
        <v>133</v>
      </c>
      <c r="I117" t="s">
        <v>36</v>
      </c>
      <c r="J117">
        <v>31.5</v>
      </c>
      <c r="K117">
        <v>157</v>
      </c>
      <c r="L117">
        <v>1</v>
      </c>
      <c r="M117">
        <v>6</v>
      </c>
      <c r="N117">
        <v>4</v>
      </c>
      <c r="O117" s="2">
        <v>32.32</v>
      </c>
      <c r="P117" s="3">
        <v>1.6343000000000001</v>
      </c>
      <c r="Q117" s="4">
        <v>0.48844907407407401</v>
      </c>
      <c r="R117" s="4">
        <v>0.75138888888888899</v>
      </c>
      <c r="T117" s="13">
        <v>37.299999999999997</v>
      </c>
      <c r="U117" s="10">
        <v>37.287999999999997</v>
      </c>
      <c r="V117" s="2">
        <f>U117-T117</f>
        <v>-1.2000000000000455E-2</v>
      </c>
      <c r="W117" s="2" t="str">
        <f t="shared" si="21"/>
        <v>6:18:38</v>
      </c>
      <c r="X117" s="10">
        <v>7.6999999999999996E-4</v>
      </c>
      <c r="Y117" s="12">
        <f t="shared" si="22"/>
        <v>37.287229999999994</v>
      </c>
      <c r="Z117" s="10">
        <f>Y117-T117</f>
        <v>-1.2770000000003279E-2</v>
      </c>
      <c r="AA117" s="10">
        <f t="shared" si="23"/>
        <v>37.293614999999996</v>
      </c>
      <c r="AB117" s="10" t="s">
        <v>90</v>
      </c>
    </row>
    <row r="118" spans="1:29" x14ac:dyDescent="0.25">
      <c r="A118">
        <v>56</v>
      </c>
      <c r="B118" t="s">
        <v>49</v>
      </c>
      <c r="C118" t="s">
        <v>50</v>
      </c>
      <c r="D118" t="s">
        <v>12</v>
      </c>
      <c r="E118" t="s">
        <v>3</v>
      </c>
      <c r="F118" s="1">
        <v>44938</v>
      </c>
      <c r="G118" s="1">
        <v>45078</v>
      </c>
      <c r="H118">
        <f t="shared" si="15"/>
        <v>140</v>
      </c>
      <c r="I118" t="s">
        <v>37</v>
      </c>
      <c r="J118">
        <v>30</v>
      </c>
      <c r="K118">
        <v>253</v>
      </c>
      <c r="L118">
        <v>1</v>
      </c>
      <c r="M118">
        <v>4</v>
      </c>
      <c r="N118">
        <v>5</v>
      </c>
      <c r="O118" s="2">
        <v>31.38</v>
      </c>
      <c r="P118" s="3">
        <v>1.0319</v>
      </c>
      <c r="Q118" s="4">
        <v>0.51203703703703696</v>
      </c>
      <c r="R118" s="4">
        <v>0.78194444444444444</v>
      </c>
      <c r="S118" s="2">
        <f>AVERAGE(T118:U118)</f>
        <v>37.299999999999997</v>
      </c>
      <c r="T118" s="13">
        <v>37.299999999999997</v>
      </c>
      <c r="V118" s="2"/>
      <c r="W118" s="2" t="str">
        <f t="shared" si="21"/>
        <v>6:28:40</v>
      </c>
      <c r="Y118" s="12"/>
      <c r="AA118" s="10">
        <f t="shared" si="23"/>
        <v>37.299999999999997</v>
      </c>
      <c r="AB118" s="10" t="s">
        <v>90</v>
      </c>
    </row>
    <row r="119" spans="1:29" x14ac:dyDescent="0.25">
      <c r="A119">
        <v>56</v>
      </c>
      <c r="B119" t="s">
        <v>49</v>
      </c>
      <c r="C119" t="s">
        <v>50</v>
      </c>
      <c r="D119" t="s">
        <v>12</v>
      </c>
      <c r="E119" t="s">
        <v>3</v>
      </c>
      <c r="F119" s="1">
        <v>44938</v>
      </c>
      <c r="G119" s="1">
        <v>45078</v>
      </c>
      <c r="H119">
        <f t="shared" si="15"/>
        <v>140</v>
      </c>
      <c r="I119" t="s">
        <v>37</v>
      </c>
      <c r="J119">
        <v>30</v>
      </c>
      <c r="K119">
        <v>253</v>
      </c>
      <c r="L119">
        <v>1</v>
      </c>
      <c r="M119">
        <v>4</v>
      </c>
      <c r="N119">
        <v>4</v>
      </c>
      <c r="O119" s="2">
        <v>30.34</v>
      </c>
      <c r="P119" s="3">
        <v>1.0465</v>
      </c>
      <c r="Q119" s="4">
        <v>0.51203703703703696</v>
      </c>
      <c r="S119" s="2">
        <f>AVERAGE(T119:U119)</f>
        <v>37.299999999999997</v>
      </c>
      <c r="T119" s="13">
        <v>37.299999999999997</v>
      </c>
      <c r="V119" s="2"/>
      <c r="W119" s="2" t="e">
        <f t="shared" si="21"/>
        <v>#VALUE!</v>
      </c>
      <c r="Y119" s="12"/>
      <c r="AA119" s="10">
        <f t="shared" si="23"/>
        <v>37.299999999999997</v>
      </c>
      <c r="AB119" s="10" t="s">
        <v>90</v>
      </c>
    </row>
    <row r="120" spans="1:29" x14ac:dyDescent="0.25">
      <c r="A120">
        <v>56</v>
      </c>
      <c r="B120" t="s">
        <v>49</v>
      </c>
      <c r="C120" t="s">
        <v>50</v>
      </c>
      <c r="D120" t="s">
        <v>12</v>
      </c>
      <c r="E120" t="s">
        <v>3</v>
      </c>
      <c r="F120" s="1">
        <v>44938</v>
      </c>
      <c r="G120" s="1">
        <v>45078</v>
      </c>
      <c r="H120">
        <f t="shared" si="15"/>
        <v>140</v>
      </c>
      <c r="I120" t="s">
        <v>37</v>
      </c>
      <c r="J120">
        <v>30</v>
      </c>
      <c r="K120">
        <v>253</v>
      </c>
      <c r="L120">
        <v>1</v>
      </c>
      <c r="M120">
        <v>4</v>
      </c>
      <c r="N120">
        <v>1</v>
      </c>
      <c r="O120" s="2">
        <v>29.48</v>
      </c>
      <c r="P120" s="3">
        <v>1.0542</v>
      </c>
      <c r="Q120" s="4">
        <v>0.51203703703703696</v>
      </c>
      <c r="S120" s="2">
        <f>AVERAGE(T120:U120)</f>
        <v>37.299999999999997</v>
      </c>
      <c r="T120" s="13">
        <v>37.299999999999997</v>
      </c>
      <c r="V120" s="2"/>
      <c r="W120" s="2" t="e">
        <f t="shared" si="21"/>
        <v>#VALUE!</v>
      </c>
      <c r="Y120" s="12"/>
      <c r="AA120" s="10">
        <f t="shared" si="23"/>
        <v>37.299999999999997</v>
      </c>
      <c r="AB120" s="10" t="s">
        <v>90</v>
      </c>
    </row>
    <row r="121" spans="1:29" x14ac:dyDescent="0.25">
      <c r="A121">
        <v>56</v>
      </c>
      <c r="B121" t="s">
        <v>49</v>
      </c>
      <c r="C121" t="s">
        <v>50</v>
      </c>
      <c r="D121" t="s">
        <v>12</v>
      </c>
      <c r="E121" t="s">
        <v>3</v>
      </c>
      <c r="F121" s="1">
        <v>44938</v>
      </c>
      <c r="G121" s="1">
        <v>45078</v>
      </c>
      <c r="H121">
        <f t="shared" si="15"/>
        <v>140</v>
      </c>
      <c r="I121" t="s">
        <v>37</v>
      </c>
      <c r="J121">
        <v>30</v>
      </c>
      <c r="K121">
        <v>253</v>
      </c>
      <c r="L121">
        <v>1</v>
      </c>
      <c r="M121">
        <v>4</v>
      </c>
      <c r="N121">
        <v>2</v>
      </c>
      <c r="O121" s="2">
        <v>30.9</v>
      </c>
      <c r="P121" s="3">
        <v>1.1526000000000001</v>
      </c>
      <c r="Q121" s="4">
        <v>0.51203703703703696</v>
      </c>
      <c r="S121" s="2">
        <f>AVERAGE(T121:U121)</f>
        <v>37.299999999999997</v>
      </c>
      <c r="T121" s="13">
        <v>37.299999999999997</v>
      </c>
      <c r="V121" s="2"/>
      <c r="W121" s="2" t="e">
        <f t="shared" si="21"/>
        <v>#VALUE!</v>
      </c>
      <c r="Y121" s="12"/>
      <c r="AA121" s="10">
        <f t="shared" si="23"/>
        <v>37.299999999999997</v>
      </c>
      <c r="AB121" s="10" t="s">
        <v>90</v>
      </c>
    </row>
    <row r="122" spans="1:29" x14ac:dyDescent="0.25">
      <c r="A122">
        <v>96</v>
      </c>
      <c r="B122" t="s">
        <v>64</v>
      </c>
      <c r="C122" t="s">
        <v>65</v>
      </c>
      <c r="D122" t="s">
        <v>12</v>
      </c>
      <c r="E122" t="s">
        <v>3</v>
      </c>
      <c r="F122" s="1">
        <v>44980</v>
      </c>
      <c r="G122" s="1">
        <v>45113</v>
      </c>
      <c r="H122">
        <f t="shared" si="15"/>
        <v>133</v>
      </c>
      <c r="I122" t="s">
        <v>36</v>
      </c>
      <c r="J122">
        <v>31.5</v>
      </c>
      <c r="K122">
        <v>157</v>
      </c>
      <c r="L122">
        <v>1</v>
      </c>
      <c r="M122">
        <v>6</v>
      </c>
      <c r="N122">
        <v>5</v>
      </c>
      <c r="O122" s="2">
        <v>35.68</v>
      </c>
      <c r="P122" s="3">
        <v>2.0095999999999998</v>
      </c>
      <c r="Q122" s="4">
        <v>0.48844907407407401</v>
      </c>
      <c r="R122" s="4">
        <v>0.75277777777777777</v>
      </c>
      <c r="T122" s="13">
        <v>37.299999999999997</v>
      </c>
      <c r="U122" s="10">
        <v>37.314999999999998</v>
      </c>
      <c r="V122" s="2">
        <f>U122-T122</f>
        <v>1.5000000000000568E-2</v>
      </c>
      <c r="W122" s="2" t="str">
        <f t="shared" si="21"/>
        <v>6:20:38</v>
      </c>
      <c r="X122" s="10">
        <v>7.6999999999999996E-4</v>
      </c>
      <c r="Y122" s="12">
        <f>U122-X122</f>
        <v>37.314229999999995</v>
      </c>
      <c r="Z122" s="10">
        <f>Y122-T122</f>
        <v>1.4229999999997744E-2</v>
      </c>
      <c r="AA122" s="10">
        <f t="shared" si="23"/>
        <v>37.307114999999996</v>
      </c>
      <c r="AB122" s="10" t="s">
        <v>90</v>
      </c>
    </row>
    <row r="123" spans="1:29" x14ac:dyDescent="0.25">
      <c r="A123">
        <v>108</v>
      </c>
      <c r="B123" t="s">
        <v>62</v>
      </c>
      <c r="C123" t="s">
        <v>63</v>
      </c>
      <c r="D123" t="s">
        <v>12</v>
      </c>
      <c r="E123" t="s">
        <v>3</v>
      </c>
      <c r="F123" s="1">
        <v>44990</v>
      </c>
      <c r="G123" s="1">
        <v>45120</v>
      </c>
      <c r="H123">
        <f t="shared" si="15"/>
        <v>130</v>
      </c>
      <c r="I123" t="s">
        <v>38</v>
      </c>
      <c r="J123">
        <v>31.5</v>
      </c>
      <c r="K123">
        <v>254</v>
      </c>
      <c r="L123">
        <v>1</v>
      </c>
      <c r="M123">
        <v>3</v>
      </c>
      <c r="N123">
        <v>4</v>
      </c>
      <c r="O123" s="2">
        <v>28.01</v>
      </c>
      <c r="P123" s="3">
        <v>0.88829999999999998</v>
      </c>
      <c r="Q123" s="4">
        <v>0.493229166666667</v>
      </c>
      <c r="R123" s="4">
        <v>0.75555555555555554</v>
      </c>
      <c r="T123" s="13"/>
      <c r="U123" s="10">
        <v>37.343000000000004</v>
      </c>
      <c r="V123" s="2"/>
      <c r="W123" s="2" t="str">
        <f t="shared" si="21"/>
        <v>6:17:45</v>
      </c>
      <c r="X123" s="10">
        <v>2.3E-2</v>
      </c>
      <c r="Y123" s="12">
        <f>U123-X123</f>
        <v>37.32</v>
      </c>
      <c r="AA123" s="10">
        <f t="shared" si="23"/>
        <v>37.32</v>
      </c>
      <c r="AB123" s="10" t="s">
        <v>90</v>
      </c>
    </row>
    <row r="124" spans="1:29" x14ac:dyDescent="0.25">
      <c r="A124">
        <v>56</v>
      </c>
      <c r="B124" t="s">
        <v>49</v>
      </c>
      <c r="C124" t="s">
        <v>50</v>
      </c>
      <c r="D124" t="s">
        <v>12</v>
      </c>
      <c r="E124" t="s">
        <v>3</v>
      </c>
      <c r="F124" s="1">
        <v>44938</v>
      </c>
      <c r="G124" s="1">
        <v>45078</v>
      </c>
      <c r="H124">
        <f t="shared" si="15"/>
        <v>140</v>
      </c>
      <c r="I124" t="s">
        <v>36</v>
      </c>
      <c r="J124">
        <v>31.5</v>
      </c>
      <c r="K124">
        <v>158</v>
      </c>
      <c r="L124">
        <v>1</v>
      </c>
      <c r="M124">
        <v>4</v>
      </c>
      <c r="N124">
        <v>1</v>
      </c>
      <c r="O124" s="2">
        <v>31.06</v>
      </c>
      <c r="P124" s="3">
        <v>1.0102</v>
      </c>
      <c r="Q124" s="4">
        <v>0.51203703703703696</v>
      </c>
      <c r="R124" s="4">
        <v>0.78611111111111109</v>
      </c>
      <c r="S124" s="2">
        <f>AVERAGE(T124:U124)</f>
        <v>37.5</v>
      </c>
      <c r="T124" s="13">
        <v>37.5</v>
      </c>
      <c r="V124" s="2"/>
      <c r="W124" s="2" t="str">
        <f t="shared" si="21"/>
        <v>6:34:40</v>
      </c>
      <c r="Y124" s="12"/>
      <c r="AA124" s="10">
        <f t="shared" si="23"/>
        <v>37.5</v>
      </c>
      <c r="AB124" s="10" t="s">
        <v>90</v>
      </c>
    </row>
    <row r="125" spans="1:29" x14ac:dyDescent="0.25">
      <c r="A125">
        <v>56</v>
      </c>
      <c r="B125" t="s">
        <v>49</v>
      </c>
      <c r="C125" t="s">
        <v>50</v>
      </c>
      <c r="D125" t="s">
        <v>12</v>
      </c>
      <c r="E125" t="s">
        <v>3</v>
      </c>
      <c r="F125" s="1">
        <v>44938</v>
      </c>
      <c r="G125" s="1">
        <v>45078</v>
      </c>
      <c r="H125">
        <f t="shared" si="15"/>
        <v>140</v>
      </c>
      <c r="I125" t="s">
        <v>36</v>
      </c>
      <c r="J125">
        <v>31.5</v>
      </c>
      <c r="K125">
        <v>158</v>
      </c>
      <c r="L125">
        <v>1</v>
      </c>
      <c r="M125">
        <v>4</v>
      </c>
      <c r="N125">
        <v>5</v>
      </c>
      <c r="O125" s="2">
        <v>33.020000000000003</v>
      </c>
      <c r="P125" s="3">
        <v>1.3661000000000001</v>
      </c>
      <c r="Q125" s="4">
        <v>0.51203703703703696</v>
      </c>
      <c r="R125" s="4">
        <v>0.7895833333333333</v>
      </c>
      <c r="S125" s="2">
        <f>AVERAGE(T125:U125)</f>
        <v>37.5</v>
      </c>
      <c r="T125" s="13">
        <v>37.5</v>
      </c>
      <c r="V125" s="2"/>
      <c r="W125" s="2" t="str">
        <f t="shared" si="21"/>
        <v>6:39:40</v>
      </c>
      <c r="Y125" s="12"/>
      <c r="AA125" s="10">
        <f t="shared" si="23"/>
        <v>37.5</v>
      </c>
      <c r="AB125" s="10" t="s">
        <v>90</v>
      </c>
    </row>
    <row r="126" spans="1:29" x14ac:dyDescent="0.25">
      <c r="A126">
        <v>56</v>
      </c>
      <c r="B126" t="s">
        <v>49</v>
      </c>
      <c r="C126" t="s">
        <v>50</v>
      </c>
      <c r="D126" t="s">
        <v>12</v>
      </c>
      <c r="E126" t="s">
        <v>3</v>
      </c>
      <c r="F126" s="1">
        <v>44938</v>
      </c>
      <c r="G126" s="1">
        <v>45078</v>
      </c>
      <c r="H126">
        <f t="shared" si="15"/>
        <v>140</v>
      </c>
      <c r="I126" t="s">
        <v>36</v>
      </c>
      <c r="J126">
        <v>31.5</v>
      </c>
      <c r="K126">
        <v>158</v>
      </c>
      <c r="L126">
        <v>1</v>
      </c>
      <c r="M126">
        <v>4</v>
      </c>
      <c r="N126">
        <v>3</v>
      </c>
      <c r="O126" s="2">
        <v>33.369999999999997</v>
      </c>
      <c r="P126" s="3">
        <v>1.4272</v>
      </c>
      <c r="Q126" s="4">
        <v>0.51203703703703696</v>
      </c>
      <c r="R126" s="4">
        <v>0.79236111111111107</v>
      </c>
      <c r="S126" s="2">
        <f>AVERAGE(T126:U126)</f>
        <v>37.5</v>
      </c>
      <c r="T126" s="13">
        <v>37.5</v>
      </c>
      <c r="V126" s="2"/>
      <c r="W126" s="2" t="str">
        <f t="shared" si="21"/>
        <v>6:43:40</v>
      </c>
      <c r="Y126" s="12"/>
      <c r="AA126" s="10">
        <f t="shared" si="23"/>
        <v>37.5</v>
      </c>
      <c r="AB126" s="10" t="s">
        <v>90</v>
      </c>
    </row>
    <row r="127" spans="1:29" x14ac:dyDescent="0.25">
      <c r="A127">
        <v>56</v>
      </c>
      <c r="B127" t="s">
        <v>49</v>
      </c>
      <c r="C127" t="s">
        <v>50</v>
      </c>
      <c r="D127" t="s">
        <v>12</v>
      </c>
      <c r="E127" t="s">
        <v>3</v>
      </c>
      <c r="F127" s="1">
        <v>44938</v>
      </c>
      <c r="G127" s="1">
        <v>45078</v>
      </c>
      <c r="H127">
        <f t="shared" si="15"/>
        <v>140</v>
      </c>
      <c r="I127" t="s">
        <v>36</v>
      </c>
      <c r="J127">
        <v>31.5</v>
      </c>
      <c r="K127">
        <v>158</v>
      </c>
      <c r="L127">
        <v>1</v>
      </c>
      <c r="M127">
        <v>4</v>
      </c>
      <c r="N127">
        <v>2</v>
      </c>
      <c r="O127" s="2">
        <v>38.92</v>
      </c>
      <c r="P127" s="3">
        <v>2.4285999999999999</v>
      </c>
      <c r="Q127" s="4">
        <v>0.51203703703703696</v>
      </c>
      <c r="S127" s="2">
        <f>AVERAGE(T127:U127)</f>
        <v>37.5</v>
      </c>
      <c r="T127" s="13">
        <v>37.5</v>
      </c>
      <c r="V127" s="2"/>
      <c r="W127" s="2" t="e">
        <f t="shared" si="21"/>
        <v>#VALUE!</v>
      </c>
      <c r="Y127" s="12"/>
      <c r="AA127" s="10">
        <f t="shared" si="23"/>
        <v>37.5</v>
      </c>
      <c r="AB127" s="10" t="s">
        <v>90</v>
      </c>
    </row>
    <row r="128" spans="1:29" x14ac:dyDescent="0.25">
      <c r="A128">
        <v>56</v>
      </c>
      <c r="B128" t="s">
        <v>49</v>
      </c>
      <c r="C128" t="s">
        <v>50</v>
      </c>
      <c r="D128" t="s">
        <v>12</v>
      </c>
      <c r="E128" t="s">
        <v>3</v>
      </c>
      <c r="F128" s="1">
        <v>44938</v>
      </c>
      <c r="G128" s="1">
        <v>45078</v>
      </c>
      <c r="H128">
        <f t="shared" si="15"/>
        <v>140</v>
      </c>
      <c r="J128">
        <v>31.5</v>
      </c>
      <c r="K128">
        <v>158</v>
      </c>
      <c r="L128">
        <v>1</v>
      </c>
      <c r="O128" s="2">
        <v>34.69</v>
      </c>
      <c r="P128" s="3">
        <v>1.5072000000000001</v>
      </c>
      <c r="Q128" s="4">
        <v>0.51203703703703696</v>
      </c>
      <c r="R128" s="4">
        <v>0.78680555555555554</v>
      </c>
      <c r="S128" s="2"/>
      <c r="T128" s="13"/>
      <c r="V128" s="10"/>
      <c r="W128" s="2" t="str">
        <f t="shared" si="21"/>
        <v>6:35:40</v>
      </c>
      <c r="Y128" s="12"/>
      <c r="AA128" s="10">
        <v>37.549999999999997</v>
      </c>
      <c r="AB128" s="10" t="s">
        <v>91</v>
      </c>
    </row>
    <row r="129" spans="1:29" x14ac:dyDescent="0.25">
      <c r="A129">
        <v>56</v>
      </c>
      <c r="B129" t="s">
        <v>49</v>
      </c>
      <c r="C129" t="s">
        <v>50</v>
      </c>
      <c r="D129" t="s">
        <v>12</v>
      </c>
      <c r="E129" t="s">
        <v>3</v>
      </c>
      <c r="F129" s="1">
        <v>44938</v>
      </c>
      <c r="G129" s="1">
        <v>45078</v>
      </c>
      <c r="H129">
        <f t="shared" si="15"/>
        <v>140</v>
      </c>
      <c r="I129" t="s">
        <v>36</v>
      </c>
      <c r="J129">
        <v>31.5</v>
      </c>
      <c r="K129">
        <v>158</v>
      </c>
      <c r="L129">
        <v>1</v>
      </c>
      <c r="M129">
        <v>4</v>
      </c>
      <c r="N129">
        <v>4</v>
      </c>
      <c r="O129" s="2">
        <v>35.9</v>
      </c>
      <c r="P129" s="3">
        <v>1.8052999999999999</v>
      </c>
      <c r="Q129" s="4">
        <v>0.51203703703703696</v>
      </c>
      <c r="S129" s="2">
        <f>AVERAGE(T129:U129)</f>
        <v>37.6</v>
      </c>
      <c r="T129" s="13">
        <v>37.6</v>
      </c>
      <c r="V129" s="2"/>
      <c r="W129" s="2" t="e">
        <f t="shared" si="21"/>
        <v>#VALUE!</v>
      </c>
      <c r="Y129" s="12"/>
      <c r="AA129" s="10">
        <f t="shared" ref="AA129:AA142" si="24">AVERAGE(Y129,T129)</f>
        <v>37.6</v>
      </c>
      <c r="AB129" s="10" t="s">
        <v>90</v>
      </c>
    </row>
    <row r="130" spans="1:29" x14ac:dyDescent="0.25">
      <c r="A130">
        <v>56</v>
      </c>
      <c r="B130" t="s">
        <v>49</v>
      </c>
      <c r="C130" t="s">
        <v>50</v>
      </c>
      <c r="D130" t="s">
        <v>12</v>
      </c>
      <c r="E130" t="s">
        <v>3</v>
      </c>
      <c r="F130" s="1">
        <v>44938</v>
      </c>
      <c r="G130" s="1">
        <v>45083</v>
      </c>
      <c r="H130">
        <f t="shared" ref="H130:H193" si="25">G130-F130</f>
        <v>145</v>
      </c>
      <c r="I130" t="s">
        <v>36</v>
      </c>
      <c r="J130">
        <v>28.5</v>
      </c>
      <c r="K130">
        <v>244</v>
      </c>
      <c r="L130">
        <v>1</v>
      </c>
      <c r="M130">
        <v>4</v>
      </c>
      <c r="N130">
        <v>5</v>
      </c>
      <c r="O130" s="2">
        <v>26.25</v>
      </c>
      <c r="P130" s="3">
        <v>0.66479999999999995</v>
      </c>
      <c r="Q130" s="4">
        <v>0.44003472222222201</v>
      </c>
      <c r="R130" s="4">
        <v>0.70416666666666661</v>
      </c>
      <c r="S130" s="2">
        <f>AVERAGE(T130:U130)</f>
        <v>36.799999999999997</v>
      </c>
      <c r="T130" s="13">
        <v>36.799999999999997</v>
      </c>
      <c r="V130" s="2"/>
      <c r="W130" s="2" t="str">
        <f t="shared" ref="W130:W139" si="26">TEXT(R130-Q130,"h:mm:ss")</f>
        <v>6:20:21</v>
      </c>
      <c r="X130" s="10">
        <v>7.3099999999999997E-3</v>
      </c>
      <c r="Y130" s="12">
        <f t="shared" ref="Y130:Y139" si="27">U130-X130</f>
        <v>-7.3099999999999997E-3</v>
      </c>
      <c r="AB130" s="10" t="s">
        <v>90</v>
      </c>
    </row>
    <row r="131" spans="1:29" x14ac:dyDescent="0.25">
      <c r="A131">
        <v>56</v>
      </c>
      <c r="B131" t="s">
        <v>49</v>
      </c>
      <c r="C131" t="s">
        <v>50</v>
      </c>
      <c r="D131" t="s">
        <v>12</v>
      </c>
      <c r="E131" t="s">
        <v>3</v>
      </c>
      <c r="F131" s="1">
        <v>44938</v>
      </c>
      <c r="G131" s="1">
        <v>45083</v>
      </c>
      <c r="H131">
        <f t="shared" si="25"/>
        <v>145</v>
      </c>
      <c r="I131" t="s">
        <v>36</v>
      </c>
      <c r="J131">
        <v>28.5</v>
      </c>
      <c r="K131">
        <v>244</v>
      </c>
      <c r="L131">
        <v>1</v>
      </c>
      <c r="M131">
        <v>4</v>
      </c>
      <c r="N131">
        <v>3</v>
      </c>
      <c r="O131" s="2">
        <v>30.6</v>
      </c>
      <c r="P131" s="3">
        <v>1.1555</v>
      </c>
      <c r="Q131" s="4">
        <v>0.44003472222222201</v>
      </c>
      <c r="R131" s="4">
        <v>0.70624999999999993</v>
      </c>
      <c r="S131" s="2">
        <f>AVERAGE(T131:U131)</f>
        <v>36.799999999999997</v>
      </c>
      <c r="T131" s="13">
        <v>36.799999999999997</v>
      </c>
      <c r="V131" s="2"/>
      <c r="W131" s="2" t="str">
        <f t="shared" si="26"/>
        <v>6:23:21</v>
      </c>
      <c r="X131" s="10">
        <v>7.3099999999999997E-3</v>
      </c>
      <c r="Y131" s="12">
        <f t="shared" si="27"/>
        <v>-7.3099999999999997E-3</v>
      </c>
      <c r="AB131" s="10" t="s">
        <v>90</v>
      </c>
    </row>
    <row r="132" spans="1:29" x14ac:dyDescent="0.25">
      <c r="A132">
        <v>56</v>
      </c>
      <c r="B132" t="s">
        <v>49</v>
      </c>
      <c r="C132" t="s">
        <v>50</v>
      </c>
      <c r="D132" t="s">
        <v>12</v>
      </c>
      <c r="E132" t="s">
        <v>3</v>
      </c>
      <c r="F132" s="1">
        <v>44938</v>
      </c>
      <c r="G132" s="1">
        <v>45083</v>
      </c>
      <c r="H132">
        <f t="shared" si="25"/>
        <v>145</v>
      </c>
      <c r="I132" t="s">
        <v>36</v>
      </c>
      <c r="J132">
        <v>28.5</v>
      </c>
      <c r="K132">
        <v>244</v>
      </c>
      <c r="L132">
        <v>1</v>
      </c>
      <c r="M132">
        <v>4</v>
      </c>
      <c r="N132">
        <v>4</v>
      </c>
      <c r="O132" s="2">
        <v>31.2</v>
      </c>
      <c r="P132" s="3">
        <v>1.1858</v>
      </c>
      <c r="Q132" s="4">
        <v>0.44003472222222201</v>
      </c>
      <c r="R132" s="4">
        <v>0.70416666666666661</v>
      </c>
      <c r="S132" s="2">
        <f>AVERAGE(T132:U132)</f>
        <v>36.799999999999997</v>
      </c>
      <c r="T132" s="13">
        <v>36.799999999999997</v>
      </c>
      <c r="V132" s="2"/>
      <c r="W132" s="2" t="str">
        <f t="shared" si="26"/>
        <v>6:20:21</v>
      </c>
      <c r="X132" s="10">
        <v>7.3099999999999997E-3</v>
      </c>
      <c r="Y132" s="12">
        <f t="shared" si="27"/>
        <v>-7.3099999999999997E-3</v>
      </c>
      <c r="AB132" s="10" t="s">
        <v>90</v>
      </c>
    </row>
    <row r="133" spans="1:29" x14ac:dyDescent="0.25">
      <c r="A133">
        <v>56</v>
      </c>
      <c r="B133" t="s">
        <v>49</v>
      </c>
      <c r="C133" t="s">
        <v>50</v>
      </c>
      <c r="D133" t="s">
        <v>12</v>
      </c>
      <c r="E133" t="s">
        <v>3</v>
      </c>
      <c r="F133" s="1">
        <v>44938</v>
      </c>
      <c r="G133" s="1">
        <v>45083</v>
      </c>
      <c r="H133">
        <f t="shared" si="25"/>
        <v>145</v>
      </c>
      <c r="I133" t="s">
        <v>36</v>
      </c>
      <c r="J133">
        <v>28.5</v>
      </c>
      <c r="K133">
        <v>244</v>
      </c>
      <c r="L133">
        <v>1</v>
      </c>
      <c r="M133">
        <v>4</v>
      </c>
      <c r="N133">
        <v>1</v>
      </c>
      <c r="O133" s="2">
        <v>31.49</v>
      </c>
      <c r="P133" s="3">
        <v>1.1955</v>
      </c>
      <c r="Q133" s="4">
        <v>0.44003472222222201</v>
      </c>
      <c r="R133" s="4">
        <v>0.70416666666666661</v>
      </c>
      <c r="S133" s="2"/>
      <c r="T133" s="13"/>
      <c r="V133" s="2"/>
      <c r="W133" s="2" t="str">
        <f t="shared" si="26"/>
        <v>6:20:21</v>
      </c>
      <c r="X133" s="10">
        <v>7.3099999999999997E-3</v>
      </c>
      <c r="Y133" s="12">
        <f t="shared" si="27"/>
        <v>-7.3099999999999997E-3</v>
      </c>
      <c r="AB133" s="10" t="s">
        <v>90</v>
      </c>
    </row>
    <row r="134" spans="1:29" x14ac:dyDescent="0.25">
      <c r="A134">
        <v>56</v>
      </c>
      <c r="B134" t="s">
        <v>49</v>
      </c>
      <c r="C134" t="s">
        <v>50</v>
      </c>
      <c r="D134" t="s">
        <v>12</v>
      </c>
      <c r="E134" t="s">
        <v>3</v>
      </c>
      <c r="F134" s="1">
        <v>44938</v>
      </c>
      <c r="G134" s="1">
        <v>45083</v>
      </c>
      <c r="H134">
        <f t="shared" si="25"/>
        <v>145</v>
      </c>
      <c r="I134" t="s">
        <v>36</v>
      </c>
      <c r="J134">
        <v>28.5</v>
      </c>
      <c r="K134">
        <v>244</v>
      </c>
      <c r="L134">
        <v>1</v>
      </c>
      <c r="M134">
        <v>4</v>
      </c>
      <c r="N134">
        <v>2</v>
      </c>
      <c r="O134" s="2">
        <v>34.35</v>
      </c>
      <c r="P134" s="3">
        <v>1.6626000000000001</v>
      </c>
      <c r="Q134" s="4">
        <v>0.44003472222222201</v>
      </c>
      <c r="R134" s="4">
        <v>0.70624999999999993</v>
      </c>
      <c r="S134" s="2">
        <f>AVERAGE(T134:U134)</f>
        <v>36.799999999999997</v>
      </c>
      <c r="T134" s="13">
        <v>36.799999999999997</v>
      </c>
      <c r="V134" s="2"/>
      <c r="W134" s="2" t="str">
        <f t="shared" si="26"/>
        <v>6:23:21</v>
      </c>
      <c r="X134" s="10">
        <v>7.3099999999999997E-3</v>
      </c>
      <c r="Y134" s="12">
        <f t="shared" si="27"/>
        <v>-7.3099999999999997E-3</v>
      </c>
      <c r="AB134" s="10" t="s">
        <v>90</v>
      </c>
    </row>
    <row r="135" spans="1:29" x14ac:dyDescent="0.25">
      <c r="A135">
        <v>56</v>
      </c>
      <c r="B135" t="s">
        <v>49</v>
      </c>
      <c r="C135" t="s">
        <v>50</v>
      </c>
      <c r="D135" t="s">
        <v>12</v>
      </c>
      <c r="E135" t="s">
        <v>3</v>
      </c>
      <c r="F135" s="1">
        <v>44938</v>
      </c>
      <c r="G135" s="1">
        <v>45083</v>
      </c>
      <c r="H135">
        <f t="shared" si="25"/>
        <v>145</v>
      </c>
      <c r="I135" t="s">
        <v>37</v>
      </c>
      <c r="J135">
        <v>30</v>
      </c>
      <c r="K135">
        <v>131</v>
      </c>
      <c r="L135">
        <v>2</v>
      </c>
      <c r="M135">
        <v>4</v>
      </c>
      <c r="N135">
        <v>1</v>
      </c>
      <c r="O135" s="2">
        <v>34.54</v>
      </c>
      <c r="P135" s="3">
        <v>1.6646000000000001</v>
      </c>
      <c r="Q135" s="4">
        <v>0.44003472222222201</v>
      </c>
      <c r="R135" s="4">
        <v>0.70624999999999993</v>
      </c>
      <c r="S135" s="2">
        <f>AVERAGE(T135:U135)</f>
        <v>36.799999999999997</v>
      </c>
      <c r="T135" s="13">
        <v>36.799999999999997</v>
      </c>
      <c r="V135" s="2"/>
      <c r="W135" s="2" t="str">
        <f t="shared" si="26"/>
        <v>6:23:21</v>
      </c>
      <c r="X135" s="10">
        <v>7.3099999999999997E-3</v>
      </c>
      <c r="Y135" s="12">
        <f t="shared" si="27"/>
        <v>-7.3099999999999997E-3</v>
      </c>
      <c r="AB135" s="10" t="s">
        <v>90</v>
      </c>
    </row>
    <row r="136" spans="1:29" x14ac:dyDescent="0.25">
      <c r="A136">
        <v>56</v>
      </c>
      <c r="B136" t="s">
        <v>49</v>
      </c>
      <c r="C136" t="s">
        <v>50</v>
      </c>
      <c r="D136" t="s">
        <v>12</v>
      </c>
      <c r="E136" t="s">
        <v>3</v>
      </c>
      <c r="F136" s="1">
        <v>44938</v>
      </c>
      <c r="G136" s="1">
        <v>45083</v>
      </c>
      <c r="H136">
        <f t="shared" si="25"/>
        <v>145</v>
      </c>
      <c r="I136" t="s">
        <v>38</v>
      </c>
      <c r="J136">
        <v>31.5</v>
      </c>
      <c r="K136">
        <v>225</v>
      </c>
      <c r="L136">
        <v>2</v>
      </c>
      <c r="M136">
        <v>4</v>
      </c>
      <c r="N136">
        <v>4</v>
      </c>
      <c r="O136" s="2">
        <v>30.58</v>
      </c>
      <c r="P136" s="3">
        <v>1.1249</v>
      </c>
      <c r="Q136" s="4">
        <v>0.44003472222222201</v>
      </c>
      <c r="R136" s="4">
        <v>0.71458333333333324</v>
      </c>
      <c r="S136" s="2"/>
      <c r="T136" s="13"/>
      <c r="V136" s="2"/>
      <c r="W136" s="2" t="str">
        <f t="shared" si="26"/>
        <v>6:35:21</v>
      </c>
      <c r="X136" s="10">
        <v>7.3099999999999997E-3</v>
      </c>
      <c r="Y136" s="12">
        <f t="shared" si="27"/>
        <v>-7.3099999999999997E-3</v>
      </c>
      <c r="AB136" s="10" t="s">
        <v>90</v>
      </c>
    </row>
    <row r="137" spans="1:29" x14ac:dyDescent="0.25">
      <c r="A137">
        <v>56</v>
      </c>
      <c r="B137" t="s">
        <v>49</v>
      </c>
      <c r="C137" t="s">
        <v>50</v>
      </c>
      <c r="D137" t="s">
        <v>12</v>
      </c>
      <c r="E137" t="s">
        <v>3</v>
      </c>
      <c r="F137" s="1">
        <v>44938</v>
      </c>
      <c r="G137" s="1">
        <v>45083</v>
      </c>
      <c r="H137">
        <f t="shared" si="25"/>
        <v>145</v>
      </c>
      <c r="I137" t="s">
        <v>38</v>
      </c>
      <c r="J137">
        <v>31.5</v>
      </c>
      <c r="K137">
        <v>225</v>
      </c>
      <c r="L137">
        <v>2</v>
      </c>
      <c r="M137">
        <v>4</v>
      </c>
      <c r="N137">
        <v>1</v>
      </c>
      <c r="O137" s="2">
        <v>31.78</v>
      </c>
      <c r="P137" s="3">
        <v>1.155</v>
      </c>
      <c r="Q137" s="4">
        <v>0.44003472222222201</v>
      </c>
      <c r="R137" s="4">
        <v>0.70416666666666661</v>
      </c>
      <c r="S137" s="2">
        <f>AVERAGE(T137:U137)</f>
        <v>36.799999999999997</v>
      </c>
      <c r="T137" s="13">
        <v>36.799999999999997</v>
      </c>
      <c r="V137" s="2"/>
      <c r="W137" s="2" t="str">
        <f t="shared" si="26"/>
        <v>6:20:21</v>
      </c>
      <c r="X137" s="10">
        <v>7.3099999999999997E-3</v>
      </c>
      <c r="Y137" s="12">
        <f t="shared" si="27"/>
        <v>-7.3099999999999997E-3</v>
      </c>
      <c r="AB137" s="10" t="s">
        <v>90</v>
      </c>
    </row>
    <row r="138" spans="1:29" x14ac:dyDescent="0.25">
      <c r="A138">
        <v>56</v>
      </c>
      <c r="B138" t="s">
        <v>49</v>
      </c>
      <c r="C138" t="s">
        <v>50</v>
      </c>
      <c r="D138" t="s">
        <v>12</v>
      </c>
      <c r="E138" t="s">
        <v>3</v>
      </c>
      <c r="F138" s="1">
        <v>44938</v>
      </c>
      <c r="G138" s="1">
        <v>45083</v>
      </c>
      <c r="H138">
        <f t="shared" si="25"/>
        <v>145</v>
      </c>
      <c r="I138" t="s">
        <v>38</v>
      </c>
      <c r="J138">
        <v>31.5</v>
      </c>
      <c r="K138">
        <v>225</v>
      </c>
      <c r="L138">
        <v>2</v>
      </c>
      <c r="M138">
        <v>4</v>
      </c>
      <c r="N138">
        <v>2</v>
      </c>
      <c r="O138" s="2">
        <v>32.81</v>
      </c>
      <c r="P138" s="3">
        <v>1.4067000000000001</v>
      </c>
      <c r="Q138" s="4">
        <v>0.44003472222222201</v>
      </c>
      <c r="R138" s="4">
        <v>0.71666666666666667</v>
      </c>
      <c r="S138" s="2"/>
      <c r="T138" s="13"/>
      <c r="V138" s="2"/>
      <c r="W138" s="2" t="str">
        <f t="shared" si="26"/>
        <v>6:38:21</v>
      </c>
      <c r="X138" s="10">
        <v>7.3099999999999997E-3</v>
      </c>
      <c r="Y138" s="12">
        <f t="shared" si="27"/>
        <v>-7.3099999999999997E-3</v>
      </c>
      <c r="AB138" s="10" t="s">
        <v>90</v>
      </c>
    </row>
    <row r="139" spans="1:29" x14ac:dyDescent="0.25">
      <c r="A139">
        <v>56</v>
      </c>
      <c r="B139" t="s">
        <v>49</v>
      </c>
      <c r="C139" t="s">
        <v>50</v>
      </c>
      <c r="D139" t="s">
        <v>12</v>
      </c>
      <c r="E139" t="s">
        <v>3</v>
      </c>
      <c r="F139" s="1">
        <v>44938</v>
      </c>
      <c r="G139" s="1">
        <v>45083</v>
      </c>
      <c r="H139">
        <f t="shared" si="25"/>
        <v>145</v>
      </c>
      <c r="I139" t="s">
        <v>38</v>
      </c>
      <c r="J139">
        <v>31.5</v>
      </c>
      <c r="K139">
        <v>225</v>
      </c>
      <c r="L139">
        <v>2</v>
      </c>
      <c r="M139">
        <v>4</v>
      </c>
      <c r="N139">
        <v>5</v>
      </c>
      <c r="O139" s="2">
        <v>34.54</v>
      </c>
      <c r="P139" s="3">
        <v>1.6808000000000001</v>
      </c>
      <c r="Q139" s="4">
        <v>0.44003472222222201</v>
      </c>
      <c r="R139" s="4">
        <v>0.71666666666666667</v>
      </c>
      <c r="S139" s="2"/>
      <c r="T139" s="13"/>
      <c r="V139" s="2"/>
      <c r="W139" s="2" t="str">
        <f t="shared" si="26"/>
        <v>6:38:21</v>
      </c>
      <c r="X139" s="10">
        <v>7.3099999999999997E-3</v>
      </c>
      <c r="Y139" s="12">
        <f t="shared" si="27"/>
        <v>-7.3099999999999997E-3</v>
      </c>
      <c r="AB139" s="10" t="s">
        <v>90</v>
      </c>
    </row>
    <row r="140" spans="1:29" x14ac:dyDescent="0.25">
      <c r="A140">
        <v>96</v>
      </c>
      <c r="B140" t="s">
        <v>64</v>
      </c>
      <c r="C140" t="s">
        <v>65</v>
      </c>
      <c r="D140" t="s">
        <v>12</v>
      </c>
      <c r="E140" t="s">
        <v>3</v>
      </c>
      <c r="F140" s="1">
        <v>44980</v>
      </c>
      <c r="G140" s="1">
        <v>45113</v>
      </c>
      <c r="H140">
        <f t="shared" si="25"/>
        <v>133</v>
      </c>
      <c r="I140" t="s">
        <v>36</v>
      </c>
      <c r="J140">
        <v>31.5</v>
      </c>
      <c r="K140">
        <v>157</v>
      </c>
      <c r="L140">
        <v>1</v>
      </c>
      <c r="M140">
        <v>6</v>
      </c>
      <c r="N140">
        <v>1</v>
      </c>
      <c r="Q140" s="4">
        <v>0.48844907407407401</v>
      </c>
      <c r="S140" s="4"/>
      <c r="T140" s="13"/>
      <c r="V140" s="2"/>
      <c r="W140" s="4"/>
      <c r="X140" s="10">
        <v>7.6999999999999996E-4</v>
      </c>
      <c r="Y140" s="12"/>
      <c r="AB140" s="10" t="s">
        <v>90</v>
      </c>
    </row>
    <row r="141" spans="1:29" x14ac:dyDescent="0.25">
      <c r="A141">
        <v>96</v>
      </c>
      <c r="B141" t="s">
        <v>64</v>
      </c>
      <c r="C141" t="s">
        <v>65</v>
      </c>
      <c r="D141" t="s">
        <v>12</v>
      </c>
      <c r="E141" t="s">
        <v>3</v>
      </c>
      <c r="F141" s="1">
        <v>44980</v>
      </c>
      <c r="G141" s="1">
        <v>45113</v>
      </c>
      <c r="H141">
        <f t="shared" si="25"/>
        <v>133</v>
      </c>
      <c r="I141" t="s">
        <v>36</v>
      </c>
      <c r="J141">
        <v>31.5</v>
      </c>
      <c r="K141">
        <v>157</v>
      </c>
      <c r="L141">
        <v>1</v>
      </c>
      <c r="M141">
        <v>6</v>
      </c>
      <c r="N141">
        <v>2</v>
      </c>
      <c r="Q141" s="4">
        <v>0.48844907407407401</v>
      </c>
      <c r="S141" s="4"/>
      <c r="T141" s="13"/>
      <c r="V141" s="2"/>
      <c r="W141" s="4"/>
      <c r="X141" s="10">
        <v>7.6999999999999996E-4</v>
      </c>
      <c r="Y141" s="12"/>
      <c r="AB141" s="10" t="s">
        <v>90</v>
      </c>
    </row>
    <row r="142" spans="1:29" x14ac:dyDescent="0.25">
      <c r="A142">
        <v>102</v>
      </c>
      <c r="B142" t="s">
        <v>47</v>
      </c>
      <c r="C142" t="s">
        <v>48</v>
      </c>
      <c r="D142" t="s">
        <v>13</v>
      </c>
      <c r="E142" t="s">
        <v>4</v>
      </c>
      <c r="F142" s="1">
        <v>44984</v>
      </c>
      <c r="G142" s="1">
        <v>45119</v>
      </c>
      <c r="H142">
        <f t="shared" si="25"/>
        <v>135</v>
      </c>
      <c r="I142" t="s">
        <v>38</v>
      </c>
      <c r="J142">
        <v>28.5</v>
      </c>
      <c r="K142">
        <v>240</v>
      </c>
      <c r="L142">
        <v>1</v>
      </c>
      <c r="M142">
        <v>4</v>
      </c>
      <c r="N142">
        <v>5</v>
      </c>
      <c r="O142" s="2">
        <v>29.74</v>
      </c>
      <c r="P142" s="3">
        <v>1.0710999999999999</v>
      </c>
      <c r="Q142" s="4">
        <v>0.50962962962962999</v>
      </c>
      <c r="R142" s="4">
        <v>0.74444444444444446</v>
      </c>
      <c r="T142" s="13">
        <v>36.5</v>
      </c>
      <c r="U142" s="10">
        <v>36.524999999999999</v>
      </c>
      <c r="V142" s="2">
        <f>U142-T142</f>
        <v>2.4999999999998579E-2</v>
      </c>
      <c r="W142" s="2" t="str">
        <f t="shared" ref="W142:W173" si="28">TEXT(R142-Q142,"h:mm:ss")</f>
        <v>5:38:08</v>
      </c>
      <c r="X142" s="10">
        <v>0.06</v>
      </c>
      <c r="Y142" s="12">
        <f>U142-X142</f>
        <v>36.464999999999996</v>
      </c>
      <c r="Z142" s="10">
        <f>Y142-T142</f>
        <v>-3.5000000000003695E-2</v>
      </c>
      <c r="AA142" s="10">
        <f t="shared" si="24"/>
        <v>36.482500000000002</v>
      </c>
      <c r="AB142" s="10" t="s">
        <v>90</v>
      </c>
      <c r="AC142" t="s">
        <v>72</v>
      </c>
    </row>
    <row r="143" spans="1:29" x14ac:dyDescent="0.25">
      <c r="A143">
        <v>74</v>
      </c>
      <c r="B143" t="s">
        <v>43</v>
      </c>
      <c r="C143" t="s">
        <v>44</v>
      </c>
      <c r="D143" t="s">
        <v>13</v>
      </c>
      <c r="E143" t="s">
        <v>4</v>
      </c>
      <c r="F143" s="1">
        <v>44958</v>
      </c>
      <c r="G143" s="1">
        <v>45093</v>
      </c>
      <c r="H143">
        <f t="shared" si="25"/>
        <v>135</v>
      </c>
      <c r="J143">
        <v>28.5</v>
      </c>
      <c r="K143">
        <v>144</v>
      </c>
      <c r="L143">
        <v>1</v>
      </c>
      <c r="O143" s="2">
        <v>33.06</v>
      </c>
      <c r="P143" s="3">
        <v>1.3187</v>
      </c>
      <c r="Q143" s="4">
        <v>0.5</v>
      </c>
      <c r="R143" s="4">
        <v>0.73541666666666661</v>
      </c>
      <c r="S143" s="2"/>
      <c r="T143" s="13"/>
      <c r="V143" s="10"/>
      <c r="W143" s="2" t="str">
        <f t="shared" si="28"/>
        <v>5:39:00</v>
      </c>
      <c r="Y143" s="12"/>
      <c r="AA143" s="10">
        <v>36.5</v>
      </c>
      <c r="AB143" s="10" t="s">
        <v>91</v>
      </c>
    </row>
    <row r="144" spans="1:29" x14ac:dyDescent="0.25">
      <c r="A144">
        <v>74</v>
      </c>
      <c r="B144" t="s">
        <v>43</v>
      </c>
      <c r="C144" t="s">
        <v>44</v>
      </c>
      <c r="D144" t="s">
        <v>13</v>
      </c>
      <c r="E144" t="s">
        <v>4</v>
      </c>
      <c r="F144" s="1">
        <v>44958</v>
      </c>
      <c r="G144" s="1">
        <v>45086</v>
      </c>
      <c r="H144">
        <f t="shared" si="25"/>
        <v>128</v>
      </c>
      <c r="I144" t="s">
        <v>37</v>
      </c>
      <c r="J144">
        <v>30</v>
      </c>
      <c r="K144">
        <v>153</v>
      </c>
      <c r="L144">
        <v>1</v>
      </c>
      <c r="M144">
        <v>4</v>
      </c>
      <c r="N144">
        <v>1</v>
      </c>
      <c r="O144" s="2">
        <v>27.24</v>
      </c>
      <c r="P144" s="3">
        <v>0.80769999999999997</v>
      </c>
      <c r="Q144" s="4">
        <v>0.481793981481482</v>
      </c>
      <c r="R144" s="4">
        <v>0.72361111111111109</v>
      </c>
      <c r="S144" s="2">
        <f>AVERAGE(T144:U144)</f>
        <v>36.6</v>
      </c>
      <c r="T144" s="13">
        <v>36.6</v>
      </c>
      <c r="V144" s="2"/>
      <c r="W144" s="2" t="str">
        <f t="shared" si="28"/>
        <v>5:48:13</v>
      </c>
      <c r="X144" s="10">
        <v>2.9250000000000002E-2</v>
      </c>
      <c r="Y144" s="12"/>
      <c r="AA144" s="10">
        <f>AVERAGE(Y144,T144)</f>
        <v>36.6</v>
      </c>
      <c r="AB144" s="10" t="s">
        <v>90</v>
      </c>
    </row>
    <row r="145" spans="1:29" x14ac:dyDescent="0.25">
      <c r="A145">
        <v>74</v>
      </c>
      <c r="B145" t="s">
        <v>43</v>
      </c>
      <c r="C145" t="s">
        <v>44</v>
      </c>
      <c r="D145" t="s">
        <v>13</v>
      </c>
      <c r="E145" t="s">
        <v>4</v>
      </c>
      <c r="F145" s="1">
        <v>44958</v>
      </c>
      <c r="G145" s="1">
        <v>45086</v>
      </c>
      <c r="H145">
        <f t="shared" si="25"/>
        <v>128</v>
      </c>
      <c r="I145" t="s">
        <v>37</v>
      </c>
      <c r="J145">
        <v>30</v>
      </c>
      <c r="K145">
        <v>153</v>
      </c>
      <c r="L145">
        <v>1</v>
      </c>
      <c r="M145">
        <v>4</v>
      </c>
      <c r="N145">
        <v>3</v>
      </c>
      <c r="O145" s="2">
        <v>30.04</v>
      </c>
      <c r="P145" s="3">
        <v>0.88270000000000004</v>
      </c>
      <c r="Q145" s="4">
        <v>0.481793981481482</v>
      </c>
      <c r="R145" s="4">
        <v>0.72361111111111109</v>
      </c>
      <c r="S145" s="2">
        <f>AVERAGE(T145:U145)</f>
        <v>36.6</v>
      </c>
      <c r="T145" s="13">
        <v>36.6</v>
      </c>
      <c r="V145" s="2"/>
      <c r="W145" s="2" t="str">
        <f t="shared" si="28"/>
        <v>5:48:13</v>
      </c>
      <c r="X145" s="10">
        <v>2.9250000000000002E-2</v>
      </c>
      <c r="Y145" s="12"/>
      <c r="AA145" s="10">
        <f>AVERAGE(Y145,T145)</f>
        <v>36.6</v>
      </c>
      <c r="AB145" s="10" t="s">
        <v>90</v>
      </c>
    </row>
    <row r="146" spans="1:29" x14ac:dyDescent="0.25">
      <c r="A146">
        <v>102</v>
      </c>
      <c r="B146" t="s">
        <v>47</v>
      </c>
      <c r="C146" t="s">
        <v>48</v>
      </c>
      <c r="D146" t="s">
        <v>13</v>
      </c>
      <c r="E146" t="s">
        <v>4</v>
      </c>
      <c r="F146" s="1">
        <v>44984</v>
      </c>
      <c r="G146" s="1">
        <v>45119</v>
      </c>
      <c r="H146">
        <f t="shared" si="25"/>
        <v>135</v>
      </c>
      <c r="J146">
        <v>28.5</v>
      </c>
      <c r="K146">
        <v>240</v>
      </c>
      <c r="L146">
        <v>1</v>
      </c>
      <c r="O146" s="2">
        <v>29.55</v>
      </c>
      <c r="P146" s="3">
        <v>0.99299999999999999</v>
      </c>
      <c r="Q146" s="4">
        <v>0.50962962962962999</v>
      </c>
      <c r="R146" s="4">
        <v>0.74652777777777779</v>
      </c>
      <c r="S146" s="2"/>
      <c r="T146" s="13"/>
      <c r="V146" s="10"/>
      <c r="W146" s="2" t="str">
        <f t="shared" si="28"/>
        <v>5:41:08</v>
      </c>
      <c r="Y146" s="12"/>
      <c r="AA146" s="10">
        <v>36.630000000000003</v>
      </c>
      <c r="AB146" s="10" t="s">
        <v>91</v>
      </c>
    </row>
    <row r="147" spans="1:29" x14ac:dyDescent="0.25">
      <c r="A147">
        <v>102</v>
      </c>
      <c r="B147" t="s">
        <v>47</v>
      </c>
      <c r="C147" t="s">
        <v>48</v>
      </c>
      <c r="D147" t="s">
        <v>13</v>
      </c>
      <c r="E147" t="s">
        <v>4</v>
      </c>
      <c r="F147" s="1">
        <v>44984</v>
      </c>
      <c r="G147" s="1">
        <v>45113</v>
      </c>
      <c r="H147">
        <f t="shared" si="25"/>
        <v>129</v>
      </c>
      <c r="I147" t="s">
        <v>38</v>
      </c>
      <c r="J147">
        <v>30</v>
      </c>
      <c r="K147">
        <v>353</v>
      </c>
      <c r="L147">
        <v>2</v>
      </c>
      <c r="M147">
        <v>5</v>
      </c>
      <c r="N147">
        <v>2</v>
      </c>
      <c r="O147" s="2">
        <v>34.340000000000003</v>
      </c>
      <c r="P147" s="3">
        <v>1.5628</v>
      </c>
      <c r="Q147" s="4">
        <v>0.48844907407407401</v>
      </c>
      <c r="R147" s="4">
        <v>0.72569444444444453</v>
      </c>
      <c r="T147" s="13">
        <v>36.700000000000003</v>
      </c>
      <c r="U147" s="10">
        <v>36.741999999999997</v>
      </c>
      <c r="V147" s="2">
        <f>U147-T147</f>
        <v>4.1999999999994486E-2</v>
      </c>
      <c r="W147" s="2" t="str">
        <f t="shared" si="28"/>
        <v>5:41:38</v>
      </c>
      <c r="X147" s="10">
        <v>0.111</v>
      </c>
      <c r="Y147" s="12">
        <f>U147-X147</f>
        <v>36.631</v>
      </c>
      <c r="Z147" s="10">
        <f>Y147-T147</f>
        <v>-6.9000000000002615E-2</v>
      </c>
      <c r="AA147" s="10">
        <f>AVERAGE(Y147,T147)</f>
        <v>36.665500000000002</v>
      </c>
      <c r="AB147" s="10" t="s">
        <v>90</v>
      </c>
    </row>
    <row r="148" spans="1:29" x14ac:dyDescent="0.25">
      <c r="A148">
        <v>102</v>
      </c>
      <c r="B148" t="s">
        <v>47</v>
      </c>
      <c r="C148" t="s">
        <v>48</v>
      </c>
      <c r="D148" t="s">
        <v>13</v>
      </c>
      <c r="E148" t="s">
        <v>4</v>
      </c>
      <c r="F148" s="1">
        <v>44984</v>
      </c>
      <c r="G148" s="1">
        <v>45119</v>
      </c>
      <c r="H148">
        <f t="shared" si="25"/>
        <v>135</v>
      </c>
      <c r="I148" t="s">
        <v>38</v>
      </c>
      <c r="J148">
        <v>28.5</v>
      </c>
      <c r="K148">
        <v>240</v>
      </c>
      <c r="L148">
        <v>1</v>
      </c>
      <c r="M148">
        <v>4</v>
      </c>
      <c r="N148">
        <v>3</v>
      </c>
      <c r="O148" s="2">
        <v>29.33</v>
      </c>
      <c r="P148" s="3">
        <v>1.0065</v>
      </c>
      <c r="Q148" s="4">
        <v>0.50962962962962999</v>
      </c>
      <c r="R148" s="4">
        <v>0.74930555555555556</v>
      </c>
      <c r="T148" s="13"/>
      <c r="U148" s="10">
        <v>36.728999999999999</v>
      </c>
      <c r="V148" s="2"/>
      <c r="W148" s="2" t="str">
        <f t="shared" si="28"/>
        <v>5:45:08</v>
      </c>
      <c r="X148" s="10">
        <v>0.06</v>
      </c>
      <c r="Y148" s="12">
        <f>U148-X148</f>
        <v>36.668999999999997</v>
      </c>
      <c r="AA148" s="10">
        <f>AVERAGE(Y148,T148)</f>
        <v>36.668999999999997</v>
      </c>
      <c r="AB148" s="10" t="s">
        <v>90</v>
      </c>
      <c r="AC148" t="s">
        <v>76</v>
      </c>
    </row>
    <row r="149" spans="1:29" x14ac:dyDescent="0.25">
      <c r="A149">
        <v>102</v>
      </c>
      <c r="B149" t="s">
        <v>47</v>
      </c>
      <c r="C149" t="s">
        <v>48</v>
      </c>
      <c r="D149" t="s">
        <v>13</v>
      </c>
      <c r="E149" t="s">
        <v>4</v>
      </c>
      <c r="F149" s="1">
        <v>44984</v>
      </c>
      <c r="G149" s="1">
        <v>45119</v>
      </c>
      <c r="H149">
        <f t="shared" si="25"/>
        <v>135</v>
      </c>
      <c r="J149">
        <v>28.5</v>
      </c>
      <c r="K149">
        <v>240</v>
      </c>
      <c r="L149">
        <v>1</v>
      </c>
      <c r="O149" s="2">
        <v>29.21</v>
      </c>
      <c r="P149" s="3">
        <v>0.95209999999999995</v>
      </c>
      <c r="Q149" s="4">
        <v>0.50962962962962999</v>
      </c>
      <c r="R149" s="4">
        <v>0.74791666666666667</v>
      </c>
      <c r="S149" s="2"/>
      <c r="T149" s="13"/>
      <c r="V149" s="10"/>
      <c r="W149" s="2" t="str">
        <f t="shared" si="28"/>
        <v>5:43:08</v>
      </c>
      <c r="Y149" s="12"/>
      <c r="AA149" s="10">
        <v>36.68</v>
      </c>
      <c r="AB149" s="10" t="s">
        <v>91</v>
      </c>
    </row>
    <row r="150" spans="1:29" x14ac:dyDescent="0.25">
      <c r="A150">
        <v>102</v>
      </c>
      <c r="B150" t="s">
        <v>47</v>
      </c>
      <c r="C150" t="s">
        <v>48</v>
      </c>
      <c r="D150" t="s">
        <v>13</v>
      </c>
      <c r="E150" t="s">
        <v>4</v>
      </c>
      <c r="F150" s="1">
        <v>44984</v>
      </c>
      <c r="G150" s="1">
        <v>45119</v>
      </c>
      <c r="H150">
        <f t="shared" si="25"/>
        <v>135</v>
      </c>
      <c r="I150" t="s">
        <v>38</v>
      </c>
      <c r="J150">
        <v>28.5</v>
      </c>
      <c r="K150">
        <v>240</v>
      </c>
      <c r="L150">
        <v>1</v>
      </c>
      <c r="M150">
        <v>4</v>
      </c>
      <c r="N150">
        <v>1</v>
      </c>
      <c r="O150" s="2">
        <v>27.32</v>
      </c>
      <c r="P150" s="3">
        <v>0.8115</v>
      </c>
      <c r="Q150" s="4">
        <v>0.50962962962962999</v>
      </c>
      <c r="R150" s="4">
        <v>0.74861111111111101</v>
      </c>
      <c r="T150" s="13">
        <v>36.700000000000003</v>
      </c>
      <c r="U150" s="10">
        <v>36.728999999999999</v>
      </c>
      <c r="V150" s="2">
        <f t="shared" ref="V150:V155" si="29">U150-T150</f>
        <v>2.8999999999996362E-2</v>
      </c>
      <c r="W150" s="2" t="str">
        <f t="shared" si="28"/>
        <v>5:44:08</v>
      </c>
      <c r="X150" s="10">
        <v>0.06</v>
      </c>
      <c r="Y150" s="12">
        <f t="shared" ref="Y150:Y155" si="30">U150-X150</f>
        <v>36.668999999999997</v>
      </c>
      <c r="Z150" s="10">
        <f t="shared" ref="Z150:Z155" si="31">Y150-T150</f>
        <v>-3.1000000000005912E-2</v>
      </c>
      <c r="AA150" s="10">
        <f t="shared" ref="AA150:AA161" si="32">AVERAGE(Y150,T150)</f>
        <v>36.6845</v>
      </c>
      <c r="AB150" s="10" t="s">
        <v>90</v>
      </c>
      <c r="AC150" t="s">
        <v>73</v>
      </c>
    </row>
    <row r="151" spans="1:29" x14ac:dyDescent="0.25">
      <c r="A151">
        <v>102</v>
      </c>
      <c r="B151" t="s">
        <v>47</v>
      </c>
      <c r="C151" t="s">
        <v>48</v>
      </c>
      <c r="D151" t="s">
        <v>13</v>
      </c>
      <c r="E151" t="s">
        <v>4</v>
      </c>
      <c r="F151" s="1">
        <v>44984</v>
      </c>
      <c r="G151" s="1">
        <v>45119</v>
      </c>
      <c r="H151">
        <f t="shared" si="25"/>
        <v>135</v>
      </c>
      <c r="I151" t="s">
        <v>38</v>
      </c>
      <c r="J151">
        <v>28.5</v>
      </c>
      <c r="K151">
        <v>240</v>
      </c>
      <c r="L151">
        <v>1</v>
      </c>
      <c r="M151">
        <v>4</v>
      </c>
      <c r="N151">
        <v>4</v>
      </c>
      <c r="O151" s="2">
        <v>30.31</v>
      </c>
      <c r="P151" s="3">
        <v>1.1718999999999999</v>
      </c>
      <c r="Q151" s="4">
        <v>0.50962962962962999</v>
      </c>
      <c r="R151" s="4">
        <v>0.74861111111111101</v>
      </c>
      <c r="T151" s="13">
        <v>36.700000000000003</v>
      </c>
      <c r="U151" s="10">
        <v>36.728999999999999</v>
      </c>
      <c r="V151" s="2">
        <f t="shared" si="29"/>
        <v>2.8999999999996362E-2</v>
      </c>
      <c r="W151" s="2" t="str">
        <f t="shared" si="28"/>
        <v>5:44:08</v>
      </c>
      <c r="X151" s="10">
        <v>0.06</v>
      </c>
      <c r="Y151" s="12">
        <f t="shared" si="30"/>
        <v>36.668999999999997</v>
      </c>
      <c r="Z151" s="10">
        <f t="shared" si="31"/>
        <v>-3.1000000000005912E-2</v>
      </c>
      <c r="AA151" s="10">
        <f t="shared" si="32"/>
        <v>36.6845</v>
      </c>
      <c r="AB151" s="10" t="s">
        <v>90</v>
      </c>
      <c r="AC151" t="s">
        <v>75</v>
      </c>
    </row>
    <row r="152" spans="1:29" x14ac:dyDescent="0.25">
      <c r="A152">
        <v>102</v>
      </c>
      <c r="B152" t="s">
        <v>47</v>
      </c>
      <c r="C152" t="s">
        <v>48</v>
      </c>
      <c r="D152" t="s">
        <v>13</v>
      </c>
      <c r="E152" t="s">
        <v>4</v>
      </c>
      <c r="F152" s="1">
        <v>44984</v>
      </c>
      <c r="G152" s="1">
        <v>45119</v>
      </c>
      <c r="H152">
        <f t="shared" si="25"/>
        <v>135</v>
      </c>
      <c r="I152" t="s">
        <v>38</v>
      </c>
      <c r="J152">
        <v>28.5</v>
      </c>
      <c r="K152">
        <v>240</v>
      </c>
      <c r="L152">
        <v>1</v>
      </c>
      <c r="M152">
        <v>4</v>
      </c>
      <c r="N152">
        <v>2</v>
      </c>
      <c r="O152" s="2">
        <v>32.43</v>
      </c>
      <c r="P152" s="3">
        <v>1.4297</v>
      </c>
      <c r="Q152" s="4">
        <v>0.50962962962962999</v>
      </c>
      <c r="R152" s="4">
        <v>0.74861111111111101</v>
      </c>
      <c r="T152" s="13">
        <v>36.700000000000003</v>
      </c>
      <c r="U152" s="10">
        <v>36.728999999999999</v>
      </c>
      <c r="V152" s="2">
        <f t="shared" si="29"/>
        <v>2.8999999999996362E-2</v>
      </c>
      <c r="W152" s="2" t="str">
        <f t="shared" si="28"/>
        <v>5:44:08</v>
      </c>
      <c r="X152" s="10">
        <v>0.06</v>
      </c>
      <c r="Y152" s="12">
        <f t="shared" si="30"/>
        <v>36.668999999999997</v>
      </c>
      <c r="Z152" s="10">
        <f t="shared" si="31"/>
        <v>-3.1000000000005912E-2</v>
      </c>
      <c r="AA152" s="10">
        <f t="shared" si="32"/>
        <v>36.6845</v>
      </c>
      <c r="AB152" s="10" t="s">
        <v>90</v>
      </c>
      <c r="AC152" t="s">
        <v>74</v>
      </c>
    </row>
    <row r="153" spans="1:29" x14ac:dyDescent="0.25">
      <c r="A153">
        <v>102</v>
      </c>
      <c r="B153" t="s">
        <v>47</v>
      </c>
      <c r="C153" t="s">
        <v>48</v>
      </c>
      <c r="D153" t="s">
        <v>13</v>
      </c>
      <c r="E153" t="s">
        <v>4</v>
      </c>
      <c r="F153" s="1">
        <v>44984</v>
      </c>
      <c r="G153" s="1">
        <v>45113</v>
      </c>
      <c r="H153">
        <f t="shared" si="25"/>
        <v>129</v>
      </c>
      <c r="I153" t="s">
        <v>37</v>
      </c>
      <c r="J153">
        <v>28.5</v>
      </c>
      <c r="K153">
        <v>240</v>
      </c>
      <c r="L153">
        <v>2</v>
      </c>
      <c r="M153">
        <v>5</v>
      </c>
      <c r="N153">
        <v>4</v>
      </c>
      <c r="O153" s="2">
        <v>30.92</v>
      </c>
      <c r="P153" s="3">
        <v>1.0927</v>
      </c>
      <c r="Q153" s="4">
        <v>0.48844907407407401</v>
      </c>
      <c r="R153" s="4">
        <v>0.7270833333333333</v>
      </c>
      <c r="T153" s="13">
        <v>36.700000000000003</v>
      </c>
      <c r="U153" s="10">
        <v>36.795999999999999</v>
      </c>
      <c r="V153" s="2">
        <f t="shared" si="29"/>
        <v>9.5999999999996533E-2</v>
      </c>
      <c r="W153" s="2" t="str">
        <f t="shared" si="28"/>
        <v>5:43:38</v>
      </c>
      <c r="X153" s="10">
        <v>0.111</v>
      </c>
      <c r="Y153" s="12">
        <f t="shared" si="30"/>
        <v>36.685000000000002</v>
      </c>
      <c r="Z153" s="10">
        <f t="shared" si="31"/>
        <v>-1.5000000000000568E-2</v>
      </c>
      <c r="AA153" s="10">
        <f t="shared" si="32"/>
        <v>36.692500000000003</v>
      </c>
      <c r="AB153" s="10" t="s">
        <v>90</v>
      </c>
    </row>
    <row r="154" spans="1:29" x14ac:dyDescent="0.25">
      <c r="A154">
        <v>102</v>
      </c>
      <c r="B154" t="s">
        <v>47</v>
      </c>
      <c r="C154" t="s">
        <v>48</v>
      </c>
      <c r="D154" t="s">
        <v>13</v>
      </c>
      <c r="E154" t="s">
        <v>4</v>
      </c>
      <c r="F154" s="1">
        <v>44984</v>
      </c>
      <c r="G154" s="1">
        <v>45113</v>
      </c>
      <c r="H154">
        <f t="shared" si="25"/>
        <v>129</v>
      </c>
      <c r="I154" t="s">
        <v>37</v>
      </c>
      <c r="J154">
        <v>28.5</v>
      </c>
      <c r="K154">
        <v>240</v>
      </c>
      <c r="L154">
        <v>2</v>
      </c>
      <c r="M154">
        <v>5</v>
      </c>
      <c r="N154">
        <v>3</v>
      </c>
      <c r="O154" s="2">
        <v>33.35</v>
      </c>
      <c r="P154" s="3">
        <v>1.4056</v>
      </c>
      <c r="Q154" s="4">
        <v>0.48844907407407401</v>
      </c>
      <c r="R154" s="4">
        <v>0.7270833333333333</v>
      </c>
      <c r="T154" s="13">
        <v>36.700000000000003</v>
      </c>
      <c r="U154" s="10">
        <v>36.795999999999999</v>
      </c>
      <c r="V154" s="2">
        <f t="shared" si="29"/>
        <v>9.5999999999996533E-2</v>
      </c>
      <c r="W154" s="2" t="str">
        <f t="shared" si="28"/>
        <v>5:43:38</v>
      </c>
      <c r="X154" s="10">
        <v>0.111</v>
      </c>
      <c r="Y154" s="12">
        <f t="shared" si="30"/>
        <v>36.685000000000002</v>
      </c>
      <c r="Z154" s="10">
        <f t="shared" si="31"/>
        <v>-1.5000000000000568E-2</v>
      </c>
      <c r="AA154" s="10">
        <f t="shared" si="32"/>
        <v>36.692500000000003</v>
      </c>
      <c r="AB154" s="10" t="s">
        <v>90</v>
      </c>
    </row>
    <row r="155" spans="1:29" x14ac:dyDescent="0.25">
      <c r="A155">
        <v>102</v>
      </c>
      <c r="B155" t="s">
        <v>47</v>
      </c>
      <c r="C155" t="s">
        <v>48</v>
      </c>
      <c r="D155" t="s">
        <v>13</v>
      </c>
      <c r="E155" t="s">
        <v>4</v>
      </c>
      <c r="F155" s="1">
        <v>44984</v>
      </c>
      <c r="G155" s="1">
        <v>45113</v>
      </c>
      <c r="H155">
        <f t="shared" si="25"/>
        <v>129</v>
      </c>
      <c r="I155" t="s">
        <v>38</v>
      </c>
      <c r="J155">
        <v>30</v>
      </c>
      <c r="K155">
        <v>353</v>
      </c>
      <c r="L155">
        <v>2</v>
      </c>
      <c r="M155">
        <v>5</v>
      </c>
      <c r="N155">
        <v>1</v>
      </c>
      <c r="O155" s="2">
        <v>31.58</v>
      </c>
      <c r="P155" s="3">
        <v>1.1577999999999999</v>
      </c>
      <c r="Q155" s="4">
        <v>0.48844907407407401</v>
      </c>
      <c r="R155" s="4">
        <v>0.7270833333333333</v>
      </c>
      <c r="T155" s="13">
        <v>36.700000000000003</v>
      </c>
      <c r="U155" s="10">
        <v>36.795999999999999</v>
      </c>
      <c r="V155" s="2">
        <f t="shared" si="29"/>
        <v>9.5999999999996533E-2</v>
      </c>
      <c r="W155" s="2" t="str">
        <f t="shared" si="28"/>
        <v>5:43:38</v>
      </c>
      <c r="X155" s="10">
        <v>0.111</v>
      </c>
      <c r="Y155" s="12">
        <f t="shared" si="30"/>
        <v>36.685000000000002</v>
      </c>
      <c r="Z155" s="10">
        <f t="shared" si="31"/>
        <v>-1.5000000000000568E-2</v>
      </c>
      <c r="AA155" s="10">
        <f t="shared" si="32"/>
        <v>36.692500000000003</v>
      </c>
      <c r="AB155" s="10" t="s">
        <v>90</v>
      </c>
    </row>
    <row r="156" spans="1:29" x14ac:dyDescent="0.25">
      <c r="A156">
        <v>74</v>
      </c>
      <c r="B156" t="s">
        <v>43</v>
      </c>
      <c r="C156" t="s">
        <v>44</v>
      </c>
      <c r="D156" t="s">
        <v>13</v>
      </c>
      <c r="E156" t="s">
        <v>4</v>
      </c>
      <c r="F156" s="1">
        <v>44958</v>
      </c>
      <c r="G156" s="1">
        <v>45086</v>
      </c>
      <c r="H156">
        <f t="shared" si="25"/>
        <v>128</v>
      </c>
      <c r="I156" t="s">
        <v>37</v>
      </c>
      <c r="J156">
        <v>30</v>
      </c>
      <c r="K156">
        <v>153</v>
      </c>
      <c r="L156">
        <v>1</v>
      </c>
      <c r="M156">
        <v>4</v>
      </c>
      <c r="N156">
        <v>2</v>
      </c>
      <c r="O156" s="2">
        <v>32.869999999999997</v>
      </c>
      <c r="P156" s="3">
        <v>1.4716</v>
      </c>
      <c r="Q156" s="4">
        <v>0.481793981481482</v>
      </c>
      <c r="R156" s="4">
        <v>0.72430555555555554</v>
      </c>
      <c r="S156" s="2">
        <f t="shared" ref="S156:S161" si="33">AVERAGE(T156:U156)</f>
        <v>36.700000000000003</v>
      </c>
      <c r="T156" s="13">
        <v>36.700000000000003</v>
      </c>
      <c r="V156" s="2"/>
      <c r="W156" s="2" t="str">
        <f t="shared" si="28"/>
        <v>5:49:13</v>
      </c>
      <c r="X156" s="10">
        <v>2.9250000000000002E-2</v>
      </c>
      <c r="Y156" s="12"/>
      <c r="AA156" s="10">
        <f t="shared" si="32"/>
        <v>36.700000000000003</v>
      </c>
      <c r="AB156" s="10" t="s">
        <v>90</v>
      </c>
    </row>
    <row r="157" spans="1:29" x14ac:dyDescent="0.25">
      <c r="A157">
        <v>75</v>
      </c>
      <c r="B157" t="s">
        <v>47</v>
      </c>
      <c r="C157" t="s">
        <v>48</v>
      </c>
      <c r="D157" t="s">
        <v>13</v>
      </c>
      <c r="E157" t="s">
        <v>4</v>
      </c>
      <c r="F157" s="1">
        <v>44959</v>
      </c>
      <c r="G157" s="1">
        <v>45083</v>
      </c>
      <c r="H157">
        <f t="shared" si="25"/>
        <v>124</v>
      </c>
      <c r="I157" t="s">
        <v>36</v>
      </c>
      <c r="J157">
        <v>28.5</v>
      </c>
      <c r="K157">
        <v>139</v>
      </c>
      <c r="L157">
        <v>2</v>
      </c>
      <c r="M157">
        <v>3</v>
      </c>
      <c r="N157">
        <v>1</v>
      </c>
      <c r="O157" s="2">
        <v>27.97</v>
      </c>
      <c r="P157" s="3">
        <v>0.82679999999999998</v>
      </c>
      <c r="Q157" s="4">
        <v>0.44003472222222201</v>
      </c>
      <c r="R157" s="4">
        <v>0.70138888888888884</v>
      </c>
      <c r="S157" s="2">
        <f t="shared" si="33"/>
        <v>36.762</v>
      </c>
      <c r="T157" s="13">
        <v>36.700000000000003</v>
      </c>
      <c r="U157" s="10">
        <v>36.823999999999998</v>
      </c>
      <c r="V157" s="2">
        <f>U157-T157</f>
        <v>0.12399999999999523</v>
      </c>
      <c r="W157" s="2" t="str">
        <f t="shared" si="28"/>
        <v>6:16:21</v>
      </c>
      <c r="X157" s="10">
        <v>0.1047</v>
      </c>
      <c r="Y157" s="12">
        <f>U157-X157</f>
        <v>36.719299999999997</v>
      </c>
      <c r="Z157" s="10">
        <f>Y157-T157</f>
        <v>1.92999999999941E-2</v>
      </c>
      <c r="AA157" s="10">
        <f t="shared" si="32"/>
        <v>36.709649999999996</v>
      </c>
      <c r="AB157" s="10" t="s">
        <v>90</v>
      </c>
    </row>
    <row r="158" spans="1:29" x14ac:dyDescent="0.25">
      <c r="A158">
        <v>75</v>
      </c>
      <c r="B158" t="s">
        <v>47</v>
      </c>
      <c r="C158" t="s">
        <v>48</v>
      </c>
      <c r="D158" t="s">
        <v>13</v>
      </c>
      <c r="E158" t="s">
        <v>4</v>
      </c>
      <c r="F158" s="1">
        <v>44959</v>
      </c>
      <c r="G158" s="1">
        <v>45083</v>
      </c>
      <c r="H158">
        <f t="shared" si="25"/>
        <v>124</v>
      </c>
      <c r="I158" t="s">
        <v>36</v>
      </c>
      <c r="J158">
        <v>28.5</v>
      </c>
      <c r="K158">
        <v>139</v>
      </c>
      <c r="L158">
        <v>2</v>
      </c>
      <c r="M158">
        <v>3</v>
      </c>
      <c r="N158">
        <v>2</v>
      </c>
      <c r="O158" s="2">
        <v>30.71</v>
      </c>
      <c r="P158" s="3">
        <v>1.1964999999999999</v>
      </c>
      <c r="Q158" s="4">
        <v>0.44003472222222201</v>
      </c>
      <c r="R158" s="4">
        <v>0.70138888888888884</v>
      </c>
      <c r="S158" s="2">
        <f t="shared" si="33"/>
        <v>36.762</v>
      </c>
      <c r="T158" s="13">
        <v>36.700000000000003</v>
      </c>
      <c r="U158" s="10">
        <v>36.823999999999998</v>
      </c>
      <c r="V158" s="2">
        <f>U158-T158</f>
        <v>0.12399999999999523</v>
      </c>
      <c r="W158" s="2" t="str">
        <f t="shared" si="28"/>
        <v>6:16:21</v>
      </c>
      <c r="X158" s="10">
        <v>0.1047</v>
      </c>
      <c r="Y158" s="12">
        <f>U158-X158</f>
        <v>36.719299999999997</v>
      </c>
      <c r="Z158" s="10">
        <f>Y158-T158</f>
        <v>1.92999999999941E-2</v>
      </c>
      <c r="AA158" s="10">
        <f t="shared" si="32"/>
        <v>36.709649999999996</v>
      </c>
      <c r="AB158" s="10" t="s">
        <v>90</v>
      </c>
    </row>
    <row r="159" spans="1:29" x14ac:dyDescent="0.25">
      <c r="A159">
        <v>75</v>
      </c>
      <c r="B159" t="s">
        <v>47</v>
      </c>
      <c r="C159" t="s">
        <v>48</v>
      </c>
      <c r="D159" t="s">
        <v>13</v>
      </c>
      <c r="E159" t="s">
        <v>4</v>
      </c>
      <c r="F159" s="1">
        <v>44959</v>
      </c>
      <c r="G159" s="1">
        <v>45083</v>
      </c>
      <c r="H159">
        <f t="shared" si="25"/>
        <v>124</v>
      </c>
      <c r="I159" t="s">
        <v>36</v>
      </c>
      <c r="J159">
        <v>28.5</v>
      </c>
      <c r="K159">
        <v>139</v>
      </c>
      <c r="L159">
        <v>2</v>
      </c>
      <c r="M159">
        <v>3</v>
      </c>
      <c r="N159">
        <v>3</v>
      </c>
      <c r="O159" s="2">
        <v>32.11</v>
      </c>
      <c r="P159" s="3">
        <v>1.2656000000000001</v>
      </c>
      <c r="Q159" s="4">
        <v>0.44003472222222201</v>
      </c>
      <c r="R159" s="4">
        <v>0.70138888888888884</v>
      </c>
      <c r="S159" s="2">
        <f t="shared" si="33"/>
        <v>36.762</v>
      </c>
      <c r="T159" s="13">
        <v>36.700000000000003</v>
      </c>
      <c r="U159" s="10">
        <v>36.823999999999998</v>
      </c>
      <c r="V159" s="2">
        <f>U159-T159</f>
        <v>0.12399999999999523</v>
      </c>
      <c r="W159" s="2" t="str">
        <f t="shared" si="28"/>
        <v>6:16:21</v>
      </c>
      <c r="X159" s="10">
        <v>0.1047</v>
      </c>
      <c r="Y159" s="12">
        <f>U159-X159</f>
        <v>36.719299999999997</v>
      </c>
      <c r="Z159" s="10">
        <f>Y159-T159</f>
        <v>1.92999999999941E-2</v>
      </c>
      <c r="AA159" s="10">
        <f t="shared" si="32"/>
        <v>36.709649999999996</v>
      </c>
      <c r="AB159" s="10" t="s">
        <v>90</v>
      </c>
    </row>
    <row r="160" spans="1:29" x14ac:dyDescent="0.25">
      <c r="A160">
        <v>75</v>
      </c>
      <c r="B160" t="s">
        <v>47</v>
      </c>
      <c r="C160" t="s">
        <v>48</v>
      </c>
      <c r="D160" t="s">
        <v>13</v>
      </c>
      <c r="E160" t="s">
        <v>4</v>
      </c>
      <c r="F160" s="1">
        <v>44959</v>
      </c>
      <c r="G160" s="1">
        <v>45083</v>
      </c>
      <c r="H160">
        <f t="shared" si="25"/>
        <v>124</v>
      </c>
      <c r="I160" t="s">
        <v>37</v>
      </c>
      <c r="J160">
        <v>30</v>
      </c>
      <c r="K160">
        <v>134</v>
      </c>
      <c r="L160">
        <v>2</v>
      </c>
      <c r="M160">
        <v>3</v>
      </c>
      <c r="N160">
        <v>4</v>
      </c>
      <c r="O160" s="2">
        <v>27.54</v>
      </c>
      <c r="P160" s="3">
        <v>0.184</v>
      </c>
      <c r="Q160" s="4">
        <v>0.44003472222222201</v>
      </c>
      <c r="R160" s="4">
        <v>0.70138888888888884</v>
      </c>
      <c r="S160" s="2">
        <f t="shared" si="33"/>
        <v>36.762</v>
      </c>
      <c r="T160" s="13">
        <v>36.700000000000003</v>
      </c>
      <c r="U160" s="10">
        <v>36.823999999999998</v>
      </c>
      <c r="V160" s="2">
        <f>U160-T160</f>
        <v>0.12399999999999523</v>
      </c>
      <c r="W160" s="2" t="str">
        <f t="shared" si="28"/>
        <v>6:16:21</v>
      </c>
      <c r="X160" s="10">
        <v>0.1047</v>
      </c>
      <c r="Y160" s="12">
        <f>U160-X160</f>
        <v>36.719299999999997</v>
      </c>
      <c r="Z160" s="10">
        <f>Y160-T160</f>
        <v>1.92999999999941E-2</v>
      </c>
      <c r="AA160" s="10">
        <f t="shared" si="32"/>
        <v>36.709649999999996</v>
      </c>
      <c r="AB160" s="10" t="s">
        <v>90</v>
      </c>
    </row>
    <row r="161" spans="1:28" x14ac:dyDescent="0.25">
      <c r="A161">
        <v>75</v>
      </c>
      <c r="B161" t="s">
        <v>47</v>
      </c>
      <c r="C161" t="s">
        <v>48</v>
      </c>
      <c r="D161" t="s">
        <v>13</v>
      </c>
      <c r="E161" t="s">
        <v>4</v>
      </c>
      <c r="F161" s="1">
        <v>44959</v>
      </c>
      <c r="G161" s="1">
        <v>45083</v>
      </c>
      <c r="H161">
        <f t="shared" si="25"/>
        <v>124</v>
      </c>
      <c r="I161" t="s">
        <v>37</v>
      </c>
      <c r="J161">
        <v>30</v>
      </c>
      <c r="K161">
        <v>134</v>
      </c>
      <c r="L161">
        <v>2</v>
      </c>
      <c r="M161">
        <v>3</v>
      </c>
      <c r="N161">
        <v>5</v>
      </c>
      <c r="O161" s="2">
        <v>31.3</v>
      </c>
      <c r="P161" s="3">
        <v>1.0827</v>
      </c>
      <c r="Q161" s="4">
        <v>0.44003472222222201</v>
      </c>
      <c r="R161" s="4">
        <v>0.70138888888888884</v>
      </c>
      <c r="S161" s="2">
        <f t="shared" si="33"/>
        <v>36.762</v>
      </c>
      <c r="T161" s="13">
        <v>36.700000000000003</v>
      </c>
      <c r="U161" s="10">
        <v>36.823999999999998</v>
      </c>
      <c r="V161" s="2">
        <f>U161-T161</f>
        <v>0.12399999999999523</v>
      </c>
      <c r="W161" s="2" t="str">
        <f t="shared" si="28"/>
        <v>6:16:21</v>
      </c>
      <c r="X161" s="10">
        <v>0.1047</v>
      </c>
      <c r="Y161" s="12">
        <f>U161-X161</f>
        <v>36.719299999999997</v>
      </c>
      <c r="Z161" s="10">
        <f>Y161-T161</f>
        <v>1.92999999999941E-2</v>
      </c>
      <c r="AA161" s="10">
        <f t="shared" si="32"/>
        <v>36.709649999999996</v>
      </c>
      <c r="AB161" s="10" t="s">
        <v>90</v>
      </c>
    </row>
    <row r="162" spans="1:28" x14ac:dyDescent="0.25">
      <c r="A162">
        <v>75</v>
      </c>
      <c r="B162" t="s">
        <v>47</v>
      </c>
      <c r="C162" t="s">
        <v>48</v>
      </c>
      <c r="D162" t="s">
        <v>13</v>
      </c>
      <c r="E162" t="s">
        <v>4</v>
      </c>
      <c r="F162" s="1">
        <v>44959</v>
      </c>
      <c r="G162" s="1">
        <v>45087</v>
      </c>
      <c r="H162">
        <f t="shared" si="25"/>
        <v>128</v>
      </c>
      <c r="J162">
        <v>28.5</v>
      </c>
      <c r="K162">
        <v>139</v>
      </c>
      <c r="L162">
        <v>2</v>
      </c>
      <c r="O162" s="2">
        <v>31.17</v>
      </c>
      <c r="P162" s="3">
        <v>1.1259999999999999</v>
      </c>
      <c r="Q162" s="4">
        <v>0.51041666666666696</v>
      </c>
      <c r="R162" s="4">
        <v>0.74791666666666667</v>
      </c>
      <c r="S162" s="2"/>
      <c r="T162" s="13"/>
      <c r="V162" s="10"/>
      <c r="W162" s="2" t="str">
        <f t="shared" si="28"/>
        <v>5:42:00</v>
      </c>
      <c r="Y162" s="12"/>
      <c r="AA162" s="10">
        <v>36.729999999999997</v>
      </c>
      <c r="AB162" s="10" t="s">
        <v>91</v>
      </c>
    </row>
    <row r="163" spans="1:28" x14ac:dyDescent="0.25">
      <c r="A163">
        <v>102</v>
      </c>
      <c r="B163" t="s">
        <v>47</v>
      </c>
      <c r="C163" t="s">
        <v>48</v>
      </c>
      <c r="D163" t="s">
        <v>13</v>
      </c>
      <c r="E163" t="s">
        <v>4</v>
      </c>
      <c r="F163" s="1">
        <v>44984</v>
      </c>
      <c r="G163" s="1">
        <v>45112</v>
      </c>
      <c r="H163">
        <f t="shared" si="25"/>
        <v>128</v>
      </c>
      <c r="J163">
        <v>30</v>
      </c>
      <c r="K163">
        <v>353</v>
      </c>
      <c r="L163">
        <v>2</v>
      </c>
      <c r="O163" s="2">
        <v>31.76</v>
      </c>
      <c r="P163" s="3">
        <v>1.0679000000000001</v>
      </c>
      <c r="Q163" s="4">
        <v>0.54166666666666663</v>
      </c>
      <c r="R163" s="4">
        <v>0.78333333333333333</v>
      </c>
      <c r="S163" s="2"/>
      <c r="T163" s="13"/>
      <c r="V163" s="10"/>
      <c r="W163" s="2" t="str">
        <f t="shared" si="28"/>
        <v>5:48:00</v>
      </c>
      <c r="Y163" s="12"/>
      <c r="AA163" s="10">
        <v>36.74</v>
      </c>
      <c r="AB163" s="10" t="s">
        <v>91</v>
      </c>
    </row>
    <row r="164" spans="1:28" x14ac:dyDescent="0.25">
      <c r="A164">
        <v>75</v>
      </c>
      <c r="B164" t="s">
        <v>47</v>
      </c>
      <c r="C164" t="s">
        <v>48</v>
      </c>
      <c r="D164" t="s">
        <v>13</v>
      </c>
      <c r="E164" t="s">
        <v>4</v>
      </c>
      <c r="F164" s="1">
        <v>44959</v>
      </c>
      <c r="G164" s="1">
        <v>45083</v>
      </c>
      <c r="H164">
        <f t="shared" si="25"/>
        <v>124</v>
      </c>
      <c r="I164" t="s">
        <v>36</v>
      </c>
      <c r="J164">
        <v>28.5</v>
      </c>
      <c r="K164">
        <v>139</v>
      </c>
      <c r="L164">
        <v>2</v>
      </c>
      <c r="M164">
        <v>3</v>
      </c>
      <c r="N164">
        <v>5</v>
      </c>
      <c r="O164" s="2">
        <v>34.200000000000003</v>
      </c>
      <c r="P164" s="3">
        <v>1.5496000000000001</v>
      </c>
      <c r="Q164" s="4">
        <v>0.44003472222222201</v>
      </c>
      <c r="R164" s="4">
        <v>0.70208333333333339</v>
      </c>
      <c r="S164" s="2">
        <f>AVERAGE(T164:U164)</f>
        <v>36.850999999999999</v>
      </c>
      <c r="T164" s="13"/>
      <c r="U164" s="10">
        <v>36.850999999999999</v>
      </c>
      <c r="V164" s="2"/>
      <c r="W164" s="2" t="str">
        <f t="shared" si="28"/>
        <v>6:17:21</v>
      </c>
      <c r="X164" s="10">
        <v>0.1047</v>
      </c>
      <c r="Y164" s="12">
        <f>U164-X164</f>
        <v>36.746299999999998</v>
      </c>
      <c r="AA164" s="10">
        <f>AVERAGE(Y164,T164)</f>
        <v>36.746299999999998</v>
      </c>
      <c r="AB164" s="10" t="s">
        <v>90</v>
      </c>
    </row>
    <row r="165" spans="1:28" x14ac:dyDescent="0.25">
      <c r="A165">
        <v>75</v>
      </c>
      <c r="B165" t="s">
        <v>47</v>
      </c>
      <c r="C165" t="s">
        <v>48</v>
      </c>
      <c r="D165" t="s">
        <v>13</v>
      </c>
      <c r="E165" t="s">
        <v>4</v>
      </c>
      <c r="F165" s="1">
        <v>44959</v>
      </c>
      <c r="G165" s="1">
        <v>45083</v>
      </c>
      <c r="H165">
        <f t="shared" si="25"/>
        <v>124</v>
      </c>
      <c r="I165" t="s">
        <v>37</v>
      </c>
      <c r="J165">
        <v>30</v>
      </c>
      <c r="K165">
        <v>134</v>
      </c>
      <c r="L165">
        <v>2</v>
      </c>
      <c r="M165">
        <v>3</v>
      </c>
      <c r="N165">
        <v>3</v>
      </c>
      <c r="O165" s="2">
        <v>28.58</v>
      </c>
      <c r="P165" s="3">
        <v>0.84440000000000004</v>
      </c>
      <c r="Q165" s="4">
        <v>0.44003472222222201</v>
      </c>
      <c r="R165" s="4">
        <v>0.70208333333333339</v>
      </c>
      <c r="S165" s="2">
        <f>AVERAGE(T165:U165)</f>
        <v>36.850999999999999</v>
      </c>
      <c r="T165" s="13"/>
      <c r="U165" s="10">
        <v>36.850999999999999</v>
      </c>
      <c r="V165" s="2"/>
      <c r="W165" s="2" t="str">
        <f t="shared" si="28"/>
        <v>6:17:21</v>
      </c>
      <c r="X165" s="10">
        <v>0.1047</v>
      </c>
      <c r="Y165" s="12">
        <f>U165-X165</f>
        <v>36.746299999999998</v>
      </c>
      <c r="AA165" s="10">
        <f>AVERAGE(Y165,T165)</f>
        <v>36.746299999999998</v>
      </c>
      <c r="AB165" s="10" t="s">
        <v>90</v>
      </c>
    </row>
    <row r="166" spans="1:28" x14ac:dyDescent="0.25">
      <c r="A166">
        <v>75</v>
      </c>
      <c r="B166" t="s">
        <v>47</v>
      </c>
      <c r="C166" t="s">
        <v>48</v>
      </c>
      <c r="D166" t="s">
        <v>13</v>
      </c>
      <c r="E166" t="s">
        <v>4</v>
      </c>
      <c r="F166" s="1">
        <v>44959</v>
      </c>
      <c r="G166" s="1">
        <v>45083</v>
      </c>
      <c r="H166">
        <f t="shared" si="25"/>
        <v>124</v>
      </c>
      <c r="I166" t="s">
        <v>37</v>
      </c>
      <c r="J166">
        <v>30</v>
      </c>
      <c r="K166">
        <v>134</v>
      </c>
      <c r="L166">
        <v>2</v>
      </c>
      <c r="M166">
        <v>3</v>
      </c>
      <c r="N166">
        <v>2</v>
      </c>
      <c r="O166" s="2">
        <v>29.57</v>
      </c>
      <c r="P166" s="3">
        <v>0.93930000000000002</v>
      </c>
      <c r="Q166" s="4">
        <v>0.44003472222222201</v>
      </c>
      <c r="R166" s="4">
        <v>0.70208333333333339</v>
      </c>
      <c r="S166" s="2">
        <f>AVERAGE(T166:U166)</f>
        <v>36.850999999999999</v>
      </c>
      <c r="T166" s="13"/>
      <c r="U166" s="10">
        <v>36.850999999999999</v>
      </c>
      <c r="V166" s="2"/>
      <c r="W166" s="2" t="str">
        <f t="shared" si="28"/>
        <v>6:17:21</v>
      </c>
      <c r="X166" s="10">
        <v>0.1047</v>
      </c>
      <c r="Y166" s="12">
        <f>U166-X166</f>
        <v>36.746299999999998</v>
      </c>
      <c r="AA166" s="10">
        <f>AVERAGE(Y166,T166)</f>
        <v>36.746299999999998</v>
      </c>
      <c r="AB166" s="10" t="s">
        <v>90</v>
      </c>
    </row>
    <row r="167" spans="1:28" x14ac:dyDescent="0.25">
      <c r="A167">
        <v>75</v>
      </c>
      <c r="B167" t="s">
        <v>47</v>
      </c>
      <c r="C167" t="s">
        <v>48</v>
      </c>
      <c r="D167" t="s">
        <v>13</v>
      </c>
      <c r="E167" t="s">
        <v>4</v>
      </c>
      <c r="F167" s="1">
        <v>44959</v>
      </c>
      <c r="G167" s="1">
        <v>45087</v>
      </c>
      <c r="H167">
        <f t="shared" si="25"/>
        <v>128</v>
      </c>
      <c r="J167">
        <v>28.5</v>
      </c>
      <c r="K167">
        <v>139</v>
      </c>
      <c r="L167">
        <v>2</v>
      </c>
      <c r="O167" s="2">
        <v>33.340000000000003</v>
      </c>
      <c r="P167" s="3">
        <v>1.3105</v>
      </c>
      <c r="Q167" s="4">
        <v>0.51041666666666663</v>
      </c>
      <c r="R167" s="4">
        <v>0.75069444444444444</v>
      </c>
      <c r="S167" s="2"/>
      <c r="T167" s="13"/>
      <c r="V167" s="10"/>
      <c r="W167" s="2" t="str">
        <f t="shared" si="28"/>
        <v>5:46:00</v>
      </c>
      <c r="Y167" s="12"/>
      <c r="AA167" s="10">
        <v>36.770000000000003</v>
      </c>
      <c r="AB167" s="10" t="s">
        <v>91</v>
      </c>
    </row>
    <row r="168" spans="1:28" x14ac:dyDescent="0.25">
      <c r="A168">
        <v>74</v>
      </c>
      <c r="B168" t="s">
        <v>43</v>
      </c>
      <c r="C168" t="s">
        <v>44</v>
      </c>
      <c r="D168" t="s">
        <v>13</v>
      </c>
      <c r="E168" t="s">
        <v>4</v>
      </c>
      <c r="F168" s="1">
        <v>44958</v>
      </c>
      <c r="G168" s="1">
        <v>45086</v>
      </c>
      <c r="H168">
        <f t="shared" si="25"/>
        <v>128</v>
      </c>
      <c r="I168" t="s">
        <v>36</v>
      </c>
      <c r="J168">
        <v>28.5</v>
      </c>
      <c r="K168">
        <v>144</v>
      </c>
      <c r="L168">
        <v>1</v>
      </c>
      <c r="M168">
        <v>4</v>
      </c>
      <c r="N168">
        <v>2</v>
      </c>
      <c r="O168" s="2">
        <v>30.53</v>
      </c>
      <c r="P168" s="3">
        <v>0.98180000000000001</v>
      </c>
      <c r="Q168" s="4">
        <v>0.481793981481482</v>
      </c>
      <c r="R168" s="4">
        <v>0.7270833333333333</v>
      </c>
      <c r="S168" s="2">
        <f>AVERAGE(T168:U168)</f>
        <v>36.799999999999997</v>
      </c>
      <c r="T168" s="13">
        <v>36.799999999999997</v>
      </c>
      <c r="V168" s="2"/>
      <c r="W168" s="2" t="str">
        <f t="shared" si="28"/>
        <v>5:53:13</v>
      </c>
      <c r="X168" s="10">
        <v>2.9250000000000002E-2</v>
      </c>
      <c r="Y168" s="12"/>
      <c r="AA168" s="10">
        <f t="shared" ref="AA168:AA176" si="34">AVERAGE(Y168,T168)</f>
        <v>36.799999999999997</v>
      </c>
      <c r="AB168" s="10" t="s">
        <v>90</v>
      </c>
    </row>
    <row r="169" spans="1:28" x14ac:dyDescent="0.25">
      <c r="A169">
        <v>75</v>
      </c>
      <c r="B169" t="s">
        <v>47</v>
      </c>
      <c r="C169" t="s">
        <v>48</v>
      </c>
      <c r="D169" t="s">
        <v>13</v>
      </c>
      <c r="E169" t="s">
        <v>4</v>
      </c>
      <c r="F169" s="1">
        <v>44959</v>
      </c>
      <c r="G169" s="1">
        <v>45083</v>
      </c>
      <c r="H169">
        <f t="shared" si="25"/>
        <v>124</v>
      </c>
      <c r="I169" t="s">
        <v>36</v>
      </c>
      <c r="J169">
        <v>28.5</v>
      </c>
      <c r="K169">
        <v>139</v>
      </c>
      <c r="L169">
        <v>2</v>
      </c>
      <c r="M169">
        <v>3</v>
      </c>
      <c r="N169">
        <v>4</v>
      </c>
      <c r="O169" s="2">
        <v>30.77</v>
      </c>
      <c r="P169" s="3">
        <v>1.2195</v>
      </c>
      <c r="Q169" s="4">
        <v>0.44003472222222201</v>
      </c>
      <c r="R169" s="4">
        <v>0.70486111111111116</v>
      </c>
      <c r="S169" s="2">
        <f>AVERAGE(T169:U169)</f>
        <v>36.852499999999999</v>
      </c>
      <c r="T169" s="13">
        <v>36.799999999999997</v>
      </c>
      <c r="U169" s="10">
        <v>36.905000000000001</v>
      </c>
      <c r="V169" s="2">
        <f t="shared" ref="V169:V176" si="35">U169-T169</f>
        <v>0.10500000000000398</v>
      </c>
      <c r="W169" s="2" t="str">
        <f t="shared" si="28"/>
        <v>6:21:21</v>
      </c>
      <c r="X169" s="10">
        <v>0.1047</v>
      </c>
      <c r="Y169" s="12">
        <f t="shared" ref="Y169:Y176" si="36">U169-X169</f>
        <v>36.8003</v>
      </c>
      <c r="Z169" s="10">
        <f t="shared" ref="Z169:Z176" si="37">Y169-T169</f>
        <v>3.0000000000285354E-4</v>
      </c>
      <c r="AA169" s="10">
        <f t="shared" si="34"/>
        <v>36.800150000000002</v>
      </c>
      <c r="AB169" s="10" t="s">
        <v>90</v>
      </c>
    </row>
    <row r="170" spans="1:28" x14ac:dyDescent="0.25">
      <c r="A170">
        <v>75</v>
      </c>
      <c r="B170" t="s">
        <v>47</v>
      </c>
      <c r="C170" t="s">
        <v>48</v>
      </c>
      <c r="D170" t="s">
        <v>13</v>
      </c>
      <c r="E170" t="s">
        <v>4</v>
      </c>
      <c r="F170" s="1">
        <v>44959</v>
      </c>
      <c r="G170" s="1">
        <v>45083</v>
      </c>
      <c r="H170">
        <f t="shared" si="25"/>
        <v>124</v>
      </c>
      <c r="I170" t="s">
        <v>37</v>
      </c>
      <c r="J170">
        <v>30</v>
      </c>
      <c r="K170">
        <v>134</v>
      </c>
      <c r="L170">
        <v>2</v>
      </c>
      <c r="M170">
        <v>3</v>
      </c>
      <c r="N170">
        <v>1</v>
      </c>
      <c r="O170" s="2">
        <v>27.24</v>
      </c>
      <c r="P170" s="3">
        <v>0.72340000000000004</v>
      </c>
      <c r="Q170" s="4">
        <v>0.44003472222222201</v>
      </c>
      <c r="R170" s="4">
        <v>0.70486111111111116</v>
      </c>
      <c r="S170" s="2">
        <f>AVERAGE(T170:U170)</f>
        <v>36.852499999999999</v>
      </c>
      <c r="T170" s="13">
        <v>36.799999999999997</v>
      </c>
      <c r="U170" s="10">
        <v>36.905000000000001</v>
      </c>
      <c r="V170" s="2">
        <f t="shared" si="35"/>
        <v>0.10500000000000398</v>
      </c>
      <c r="W170" s="2" t="str">
        <f t="shared" si="28"/>
        <v>6:21:21</v>
      </c>
      <c r="X170" s="10">
        <v>0.1047</v>
      </c>
      <c r="Y170" s="12">
        <f t="shared" si="36"/>
        <v>36.8003</v>
      </c>
      <c r="Z170" s="10">
        <f t="shared" si="37"/>
        <v>3.0000000000285354E-4</v>
      </c>
      <c r="AA170" s="10">
        <f t="shared" si="34"/>
        <v>36.800150000000002</v>
      </c>
      <c r="AB170" s="10" t="s">
        <v>90</v>
      </c>
    </row>
    <row r="171" spans="1:28" x14ac:dyDescent="0.25">
      <c r="A171">
        <v>102</v>
      </c>
      <c r="B171" t="s">
        <v>47</v>
      </c>
      <c r="C171" t="s">
        <v>48</v>
      </c>
      <c r="D171" t="s">
        <v>13</v>
      </c>
      <c r="E171" t="s">
        <v>4</v>
      </c>
      <c r="F171" s="1">
        <v>44984</v>
      </c>
      <c r="G171" s="1">
        <v>45113</v>
      </c>
      <c r="H171">
        <f t="shared" si="25"/>
        <v>129</v>
      </c>
      <c r="I171" t="s">
        <v>37</v>
      </c>
      <c r="J171">
        <v>28.5</v>
      </c>
      <c r="K171">
        <v>240</v>
      </c>
      <c r="L171">
        <v>2</v>
      </c>
      <c r="M171">
        <v>5</v>
      </c>
      <c r="N171">
        <v>1</v>
      </c>
      <c r="O171" s="2">
        <v>31.21</v>
      </c>
      <c r="P171" s="3">
        <v>1.1913</v>
      </c>
      <c r="Q171" s="4">
        <v>0.48844907407407401</v>
      </c>
      <c r="R171" s="4">
        <v>0.7319444444444444</v>
      </c>
      <c r="T171" s="13">
        <v>36.799999999999997</v>
      </c>
      <c r="U171" s="10">
        <v>36.933</v>
      </c>
      <c r="V171" s="2">
        <f t="shared" si="35"/>
        <v>0.13300000000000267</v>
      </c>
      <c r="W171" s="2" t="str">
        <f t="shared" si="28"/>
        <v>5:50:38</v>
      </c>
      <c r="X171" s="10">
        <v>0.111</v>
      </c>
      <c r="Y171" s="12">
        <f t="shared" si="36"/>
        <v>36.822000000000003</v>
      </c>
      <c r="Z171" s="10">
        <f t="shared" si="37"/>
        <v>2.2000000000005571E-2</v>
      </c>
      <c r="AA171" s="10">
        <f t="shared" si="34"/>
        <v>36.811</v>
      </c>
      <c r="AB171" s="10" t="s">
        <v>90</v>
      </c>
    </row>
    <row r="172" spans="1:28" x14ac:dyDescent="0.25">
      <c r="A172">
        <v>102</v>
      </c>
      <c r="B172" t="s">
        <v>47</v>
      </c>
      <c r="C172" t="s">
        <v>48</v>
      </c>
      <c r="D172" t="s">
        <v>13</v>
      </c>
      <c r="E172" t="s">
        <v>4</v>
      </c>
      <c r="F172" s="1">
        <v>44984</v>
      </c>
      <c r="G172" s="1">
        <v>45113</v>
      </c>
      <c r="H172">
        <f t="shared" si="25"/>
        <v>129</v>
      </c>
      <c r="I172" t="s">
        <v>37</v>
      </c>
      <c r="J172">
        <v>28.5</v>
      </c>
      <c r="K172">
        <v>240</v>
      </c>
      <c r="L172">
        <v>2</v>
      </c>
      <c r="M172">
        <v>5</v>
      </c>
      <c r="N172">
        <v>5</v>
      </c>
      <c r="O172" s="2">
        <v>31.35</v>
      </c>
      <c r="P172" s="3">
        <v>1.2434000000000001</v>
      </c>
      <c r="Q172" s="4">
        <v>0.48844907407407401</v>
      </c>
      <c r="R172" s="4">
        <v>0.7319444444444444</v>
      </c>
      <c r="T172" s="13">
        <v>36.799999999999997</v>
      </c>
      <c r="U172" s="10">
        <v>36.933</v>
      </c>
      <c r="V172" s="2">
        <f t="shared" si="35"/>
        <v>0.13300000000000267</v>
      </c>
      <c r="W172" s="2" t="str">
        <f t="shared" si="28"/>
        <v>5:50:38</v>
      </c>
      <c r="X172" s="10">
        <v>0.111</v>
      </c>
      <c r="Y172" s="12">
        <f t="shared" si="36"/>
        <v>36.822000000000003</v>
      </c>
      <c r="Z172" s="10">
        <f t="shared" si="37"/>
        <v>2.2000000000005571E-2</v>
      </c>
      <c r="AA172" s="10">
        <f t="shared" si="34"/>
        <v>36.811</v>
      </c>
      <c r="AB172" s="10" t="s">
        <v>90</v>
      </c>
    </row>
    <row r="173" spans="1:28" x14ac:dyDescent="0.25">
      <c r="A173">
        <v>102</v>
      </c>
      <c r="B173" t="s">
        <v>47</v>
      </c>
      <c r="C173" t="s">
        <v>48</v>
      </c>
      <c r="D173" t="s">
        <v>13</v>
      </c>
      <c r="E173" t="s">
        <v>4</v>
      </c>
      <c r="F173" s="1">
        <v>44984</v>
      </c>
      <c r="G173" s="1">
        <v>45113</v>
      </c>
      <c r="H173">
        <f t="shared" si="25"/>
        <v>129</v>
      </c>
      <c r="I173" t="s">
        <v>38</v>
      </c>
      <c r="J173">
        <v>30</v>
      </c>
      <c r="K173">
        <v>353</v>
      </c>
      <c r="L173">
        <v>2</v>
      </c>
      <c r="M173">
        <v>5</v>
      </c>
      <c r="N173">
        <v>5</v>
      </c>
      <c r="O173" s="2">
        <v>30.31</v>
      </c>
      <c r="P173" s="3">
        <v>1.2123999999999999</v>
      </c>
      <c r="Q173" s="4">
        <v>0.48844907407407401</v>
      </c>
      <c r="R173" s="4">
        <v>0.7319444444444444</v>
      </c>
      <c r="T173" s="13">
        <v>36.799999999999997</v>
      </c>
      <c r="U173" s="10">
        <v>36.933</v>
      </c>
      <c r="V173" s="2">
        <f t="shared" si="35"/>
        <v>0.13300000000000267</v>
      </c>
      <c r="W173" s="2" t="str">
        <f t="shared" si="28"/>
        <v>5:50:38</v>
      </c>
      <c r="X173" s="10">
        <v>0.111</v>
      </c>
      <c r="Y173" s="12">
        <f t="shared" si="36"/>
        <v>36.822000000000003</v>
      </c>
      <c r="Z173" s="10">
        <f t="shared" si="37"/>
        <v>2.2000000000005571E-2</v>
      </c>
      <c r="AA173" s="10">
        <f t="shared" si="34"/>
        <v>36.811</v>
      </c>
      <c r="AB173" s="10" t="s">
        <v>90</v>
      </c>
    </row>
    <row r="174" spans="1:28" x14ac:dyDescent="0.25">
      <c r="A174">
        <v>102</v>
      </c>
      <c r="B174" t="s">
        <v>47</v>
      </c>
      <c r="C174" t="s">
        <v>48</v>
      </c>
      <c r="D174" t="s">
        <v>13</v>
      </c>
      <c r="E174" t="s">
        <v>4</v>
      </c>
      <c r="F174" s="1">
        <v>44984</v>
      </c>
      <c r="G174" s="1">
        <v>45113</v>
      </c>
      <c r="H174">
        <f t="shared" si="25"/>
        <v>129</v>
      </c>
      <c r="I174" t="s">
        <v>38</v>
      </c>
      <c r="J174">
        <v>30</v>
      </c>
      <c r="K174">
        <v>353</v>
      </c>
      <c r="L174">
        <v>2</v>
      </c>
      <c r="M174">
        <v>5</v>
      </c>
      <c r="N174">
        <v>3</v>
      </c>
      <c r="O174" s="2">
        <v>32.97</v>
      </c>
      <c r="P174" s="3">
        <v>1.5126999999999999</v>
      </c>
      <c r="Q174" s="4">
        <v>0.48844907407407401</v>
      </c>
      <c r="R174" s="4">
        <v>0.7319444444444444</v>
      </c>
      <c r="T174" s="13">
        <v>36.799999999999997</v>
      </c>
      <c r="U174" s="10">
        <v>36.933</v>
      </c>
      <c r="V174" s="2">
        <f t="shared" si="35"/>
        <v>0.13300000000000267</v>
      </c>
      <c r="W174" s="2" t="str">
        <f t="shared" ref="W174:W205" si="38">TEXT(R174-Q174,"h:mm:ss")</f>
        <v>5:50:38</v>
      </c>
      <c r="X174" s="10">
        <v>0.111</v>
      </c>
      <c r="Y174" s="12">
        <f t="shared" si="36"/>
        <v>36.822000000000003</v>
      </c>
      <c r="Z174" s="10">
        <f t="shared" si="37"/>
        <v>2.2000000000005571E-2</v>
      </c>
      <c r="AA174" s="10">
        <f t="shared" si="34"/>
        <v>36.811</v>
      </c>
      <c r="AB174" s="10" t="s">
        <v>90</v>
      </c>
    </row>
    <row r="175" spans="1:28" x14ac:dyDescent="0.25">
      <c r="A175">
        <v>74</v>
      </c>
      <c r="B175" t="s">
        <v>43</v>
      </c>
      <c r="C175" t="s">
        <v>44</v>
      </c>
      <c r="D175" t="s">
        <v>13</v>
      </c>
      <c r="E175" t="s">
        <v>4</v>
      </c>
      <c r="F175" s="1">
        <v>44958</v>
      </c>
      <c r="G175" s="1">
        <v>45086</v>
      </c>
      <c r="H175">
        <f t="shared" si="25"/>
        <v>128</v>
      </c>
      <c r="I175" t="s">
        <v>37</v>
      </c>
      <c r="J175">
        <v>30</v>
      </c>
      <c r="K175">
        <v>153</v>
      </c>
      <c r="L175">
        <v>1</v>
      </c>
      <c r="M175">
        <v>4</v>
      </c>
      <c r="N175">
        <v>4</v>
      </c>
      <c r="O175" s="2">
        <v>33.11</v>
      </c>
      <c r="P175" s="3">
        <v>1.4550000000000001</v>
      </c>
      <c r="Q175" s="4">
        <v>0.481793981481482</v>
      </c>
      <c r="R175" s="4">
        <v>0.7270833333333333</v>
      </c>
      <c r="S175" s="2">
        <f>AVERAGE(T175:U175)</f>
        <v>36.866500000000002</v>
      </c>
      <c r="T175" s="13">
        <v>36.799999999999997</v>
      </c>
      <c r="U175" s="10">
        <v>36.933</v>
      </c>
      <c r="V175" s="2">
        <f t="shared" si="35"/>
        <v>0.13300000000000267</v>
      </c>
      <c r="W175" s="2" t="str">
        <f t="shared" si="38"/>
        <v>5:53:13</v>
      </c>
      <c r="X175" s="10">
        <v>2.9250000000000002E-2</v>
      </c>
      <c r="Y175" s="12">
        <f t="shared" si="36"/>
        <v>36.903750000000002</v>
      </c>
      <c r="Z175" s="10">
        <f t="shared" si="37"/>
        <v>0.10375000000000512</v>
      </c>
      <c r="AA175" s="10">
        <f t="shared" si="34"/>
        <v>36.851875</v>
      </c>
      <c r="AB175" s="10" t="s">
        <v>90</v>
      </c>
    </row>
    <row r="176" spans="1:28" x14ac:dyDescent="0.25">
      <c r="A176">
        <v>74</v>
      </c>
      <c r="B176" t="s">
        <v>43</v>
      </c>
      <c r="C176" t="s">
        <v>44</v>
      </c>
      <c r="D176" t="s">
        <v>13</v>
      </c>
      <c r="E176" t="s">
        <v>4</v>
      </c>
      <c r="F176" s="1">
        <v>44958</v>
      </c>
      <c r="G176" s="1">
        <v>45086</v>
      </c>
      <c r="H176">
        <f t="shared" si="25"/>
        <v>128</v>
      </c>
      <c r="I176" t="s">
        <v>37</v>
      </c>
      <c r="J176">
        <v>30</v>
      </c>
      <c r="K176">
        <v>153</v>
      </c>
      <c r="L176">
        <v>1</v>
      </c>
      <c r="M176">
        <v>4</v>
      </c>
      <c r="N176">
        <v>5</v>
      </c>
      <c r="O176" s="2">
        <v>33.1</v>
      </c>
      <c r="P176" s="3">
        <v>1.5116000000000001</v>
      </c>
      <c r="Q176" s="4">
        <v>0.481793981481482</v>
      </c>
      <c r="R176" s="4">
        <v>0.7270833333333333</v>
      </c>
      <c r="S176" s="2">
        <f>AVERAGE(T176:U176)</f>
        <v>36.866500000000002</v>
      </c>
      <c r="T176" s="13">
        <v>36.799999999999997</v>
      </c>
      <c r="U176" s="10">
        <v>36.933</v>
      </c>
      <c r="V176" s="2">
        <f t="shared" si="35"/>
        <v>0.13300000000000267</v>
      </c>
      <c r="W176" s="2" t="str">
        <f t="shared" si="38"/>
        <v>5:53:13</v>
      </c>
      <c r="X176" s="10">
        <v>2.9250000000000002E-2</v>
      </c>
      <c r="Y176" s="12">
        <f t="shared" si="36"/>
        <v>36.903750000000002</v>
      </c>
      <c r="Z176" s="10">
        <f t="shared" si="37"/>
        <v>0.10375000000000512</v>
      </c>
      <c r="AA176" s="10">
        <f t="shared" si="34"/>
        <v>36.851875</v>
      </c>
      <c r="AB176" s="10" t="s">
        <v>90</v>
      </c>
    </row>
    <row r="177" spans="1:31" x14ac:dyDescent="0.25">
      <c r="A177">
        <v>102</v>
      </c>
      <c r="B177" t="s">
        <v>47</v>
      </c>
      <c r="C177" t="s">
        <v>48</v>
      </c>
      <c r="D177" t="s">
        <v>13</v>
      </c>
      <c r="E177" t="s">
        <v>4</v>
      </c>
      <c r="F177" s="1">
        <v>44984</v>
      </c>
      <c r="G177" s="1">
        <v>45112</v>
      </c>
      <c r="H177">
        <f t="shared" si="25"/>
        <v>128</v>
      </c>
      <c r="J177">
        <v>30</v>
      </c>
      <c r="K177">
        <v>353</v>
      </c>
      <c r="L177">
        <v>2</v>
      </c>
      <c r="O177" s="2">
        <v>29.63</v>
      </c>
      <c r="P177" s="3">
        <v>1.0071000000000001</v>
      </c>
      <c r="Q177" s="4">
        <v>0.54166666666666696</v>
      </c>
      <c r="R177" s="4">
        <v>0.79027777777777775</v>
      </c>
      <c r="S177" s="2"/>
      <c r="T177" s="13"/>
      <c r="V177" s="10"/>
      <c r="W177" s="2" t="str">
        <f t="shared" si="38"/>
        <v>5:58:00</v>
      </c>
      <c r="Y177" s="12"/>
      <c r="AA177" s="10">
        <v>36.86</v>
      </c>
      <c r="AB177" s="10" t="s">
        <v>91</v>
      </c>
    </row>
    <row r="178" spans="1:31" x14ac:dyDescent="0.25">
      <c r="A178">
        <v>102</v>
      </c>
      <c r="B178" t="s">
        <v>47</v>
      </c>
      <c r="C178" t="s">
        <v>48</v>
      </c>
      <c r="D178" t="s">
        <v>13</v>
      </c>
      <c r="E178" t="s">
        <v>4</v>
      </c>
      <c r="F178" s="1">
        <v>44984</v>
      </c>
      <c r="G178" s="1">
        <v>45119</v>
      </c>
      <c r="H178">
        <f t="shared" si="25"/>
        <v>135</v>
      </c>
      <c r="I178" t="s">
        <v>37</v>
      </c>
      <c r="J178">
        <v>30</v>
      </c>
      <c r="K178">
        <v>130</v>
      </c>
      <c r="L178">
        <v>1</v>
      </c>
      <c r="M178">
        <v>4</v>
      </c>
      <c r="N178">
        <v>5</v>
      </c>
      <c r="O178" s="2">
        <v>26.13</v>
      </c>
      <c r="P178" s="3">
        <v>0.67810000000000004</v>
      </c>
      <c r="Q178" s="4">
        <v>0.50962962962962999</v>
      </c>
      <c r="R178" s="4">
        <v>0.75694444444444453</v>
      </c>
      <c r="T178" s="13"/>
      <c r="U178" s="10">
        <v>36.933</v>
      </c>
      <c r="V178" s="2"/>
      <c r="W178" s="2" t="str">
        <f t="shared" si="38"/>
        <v>5:56:08</v>
      </c>
      <c r="X178" s="10">
        <v>0.06</v>
      </c>
      <c r="Y178" s="12">
        <f t="shared" ref="Y178:Y184" si="39">U178-X178</f>
        <v>36.872999999999998</v>
      </c>
      <c r="AA178" s="10">
        <f t="shared" ref="AA178:AA190" si="40">AVERAGE(Y178,T178)</f>
        <v>36.872999999999998</v>
      </c>
      <c r="AB178" s="10" t="s">
        <v>90</v>
      </c>
      <c r="AC178" t="s">
        <v>83</v>
      </c>
    </row>
    <row r="179" spans="1:31" x14ac:dyDescent="0.25">
      <c r="A179">
        <v>102</v>
      </c>
      <c r="B179" t="s">
        <v>47</v>
      </c>
      <c r="C179" t="s">
        <v>48</v>
      </c>
      <c r="D179" t="s">
        <v>13</v>
      </c>
      <c r="E179" t="s">
        <v>4</v>
      </c>
      <c r="F179" s="1">
        <v>44984</v>
      </c>
      <c r="G179" s="1">
        <v>45119</v>
      </c>
      <c r="H179">
        <f t="shared" si="25"/>
        <v>135</v>
      </c>
      <c r="I179" t="s">
        <v>37</v>
      </c>
      <c r="J179">
        <v>30</v>
      </c>
      <c r="K179">
        <v>130</v>
      </c>
      <c r="L179">
        <v>1</v>
      </c>
      <c r="M179">
        <v>4</v>
      </c>
      <c r="N179">
        <v>3</v>
      </c>
      <c r="O179" s="2">
        <v>27.69</v>
      </c>
      <c r="P179" s="3">
        <v>0.8145</v>
      </c>
      <c r="Q179" s="4">
        <v>0.50962962962962999</v>
      </c>
      <c r="R179" s="4">
        <v>0.75694444444444453</v>
      </c>
      <c r="T179" s="13"/>
      <c r="U179" s="10">
        <v>36.933</v>
      </c>
      <c r="V179" s="2"/>
      <c r="W179" s="2" t="str">
        <f t="shared" si="38"/>
        <v>5:56:08</v>
      </c>
      <c r="X179" s="10">
        <v>0.06</v>
      </c>
      <c r="Y179" s="12">
        <f t="shared" si="39"/>
        <v>36.872999999999998</v>
      </c>
      <c r="AA179" s="10">
        <f t="shared" si="40"/>
        <v>36.872999999999998</v>
      </c>
      <c r="AB179" s="10" t="s">
        <v>90</v>
      </c>
      <c r="AC179" t="s">
        <v>81</v>
      </c>
    </row>
    <row r="180" spans="1:31" x14ac:dyDescent="0.25">
      <c r="A180">
        <v>102</v>
      </c>
      <c r="B180" t="s">
        <v>47</v>
      </c>
      <c r="C180" t="s">
        <v>48</v>
      </c>
      <c r="D180" t="s">
        <v>13</v>
      </c>
      <c r="E180" t="s">
        <v>4</v>
      </c>
      <c r="F180" s="1">
        <v>44984</v>
      </c>
      <c r="G180" s="1">
        <v>45119</v>
      </c>
      <c r="H180">
        <f t="shared" si="25"/>
        <v>135</v>
      </c>
      <c r="I180" t="s">
        <v>37</v>
      </c>
      <c r="J180">
        <v>30</v>
      </c>
      <c r="K180">
        <v>130</v>
      </c>
      <c r="L180">
        <v>1</v>
      </c>
      <c r="M180">
        <v>4</v>
      </c>
      <c r="N180">
        <v>1</v>
      </c>
      <c r="O180" s="2">
        <v>27.18</v>
      </c>
      <c r="P180" s="3">
        <v>0.84060000000000001</v>
      </c>
      <c r="Q180" s="4">
        <v>0.50962962962962999</v>
      </c>
      <c r="R180" s="4">
        <v>0.75694444444444453</v>
      </c>
      <c r="T180" s="13"/>
      <c r="U180" s="10">
        <v>36.933</v>
      </c>
      <c r="V180" s="2"/>
      <c r="W180" s="2" t="str">
        <f t="shared" si="38"/>
        <v>5:56:08</v>
      </c>
      <c r="X180" s="10">
        <v>0.06</v>
      </c>
      <c r="Y180" s="12">
        <f t="shared" si="39"/>
        <v>36.872999999999998</v>
      </c>
      <c r="AA180" s="10">
        <f t="shared" si="40"/>
        <v>36.872999999999998</v>
      </c>
      <c r="AB180" s="10" t="s">
        <v>90</v>
      </c>
      <c r="AC180" t="s">
        <v>79</v>
      </c>
    </row>
    <row r="181" spans="1:31" x14ac:dyDescent="0.25">
      <c r="A181">
        <v>102</v>
      </c>
      <c r="B181" t="s">
        <v>47</v>
      </c>
      <c r="C181" t="s">
        <v>48</v>
      </c>
      <c r="D181" t="s">
        <v>13</v>
      </c>
      <c r="E181" t="s">
        <v>4</v>
      </c>
      <c r="F181" s="1">
        <v>44984</v>
      </c>
      <c r="G181" s="1">
        <v>45119</v>
      </c>
      <c r="H181">
        <f t="shared" si="25"/>
        <v>135</v>
      </c>
      <c r="I181" t="s">
        <v>37</v>
      </c>
      <c r="J181">
        <v>30</v>
      </c>
      <c r="K181">
        <v>130</v>
      </c>
      <c r="L181">
        <v>1</v>
      </c>
      <c r="M181">
        <v>4</v>
      </c>
      <c r="N181">
        <v>4</v>
      </c>
      <c r="O181" s="2">
        <v>32.17</v>
      </c>
      <c r="P181" s="3">
        <v>1.2855000000000001</v>
      </c>
      <c r="Q181" s="4">
        <v>0.50962962962962999</v>
      </c>
      <c r="R181" s="4">
        <v>0.75694444444444453</v>
      </c>
      <c r="T181" s="13"/>
      <c r="U181" s="10">
        <v>36.933</v>
      </c>
      <c r="V181" s="2"/>
      <c r="W181" s="2" t="str">
        <f t="shared" si="38"/>
        <v>5:56:08</v>
      </c>
      <c r="X181" s="10">
        <v>0.06</v>
      </c>
      <c r="Y181" s="12">
        <f t="shared" si="39"/>
        <v>36.872999999999998</v>
      </c>
      <c r="AA181" s="10">
        <f t="shared" si="40"/>
        <v>36.872999999999998</v>
      </c>
      <c r="AB181" s="10" t="s">
        <v>90</v>
      </c>
      <c r="AC181" t="s">
        <v>82</v>
      </c>
    </row>
    <row r="182" spans="1:31" x14ac:dyDescent="0.25">
      <c r="A182">
        <v>102</v>
      </c>
      <c r="B182" t="s">
        <v>47</v>
      </c>
      <c r="C182" t="s">
        <v>48</v>
      </c>
      <c r="D182" t="s">
        <v>13</v>
      </c>
      <c r="E182" t="s">
        <v>4</v>
      </c>
      <c r="F182" s="1">
        <v>44984</v>
      </c>
      <c r="G182" s="1">
        <v>45119</v>
      </c>
      <c r="H182">
        <f t="shared" si="25"/>
        <v>135</v>
      </c>
      <c r="I182" t="s">
        <v>37</v>
      </c>
      <c r="J182">
        <v>30</v>
      </c>
      <c r="K182">
        <v>130</v>
      </c>
      <c r="L182">
        <v>1</v>
      </c>
      <c r="M182">
        <v>4</v>
      </c>
      <c r="N182">
        <v>2</v>
      </c>
      <c r="O182" s="2">
        <v>32.380000000000003</v>
      </c>
      <c r="P182" s="3">
        <v>1.3746</v>
      </c>
      <c r="Q182" s="4">
        <v>0.50962962962962999</v>
      </c>
      <c r="R182" s="4">
        <v>0.75694444444444453</v>
      </c>
      <c r="T182" s="13"/>
      <c r="U182" s="10">
        <v>36.933</v>
      </c>
      <c r="V182" s="2"/>
      <c r="W182" s="2" t="str">
        <f t="shared" si="38"/>
        <v>5:56:08</v>
      </c>
      <c r="X182" s="10">
        <v>0.06</v>
      </c>
      <c r="Y182" s="12">
        <f t="shared" si="39"/>
        <v>36.872999999999998</v>
      </c>
      <c r="AA182" s="10">
        <f t="shared" si="40"/>
        <v>36.872999999999998</v>
      </c>
      <c r="AB182" s="10" t="s">
        <v>90</v>
      </c>
      <c r="AC182" t="s">
        <v>80</v>
      </c>
    </row>
    <row r="183" spans="1:31" x14ac:dyDescent="0.25">
      <c r="A183">
        <v>102</v>
      </c>
      <c r="B183" t="s">
        <v>47</v>
      </c>
      <c r="C183" t="s">
        <v>48</v>
      </c>
      <c r="D183" t="s">
        <v>13</v>
      </c>
      <c r="E183" t="s">
        <v>4</v>
      </c>
      <c r="F183" s="1">
        <v>44984</v>
      </c>
      <c r="G183" s="1">
        <v>45119</v>
      </c>
      <c r="H183">
        <f t="shared" si="25"/>
        <v>135</v>
      </c>
      <c r="I183" t="s">
        <v>36</v>
      </c>
      <c r="J183">
        <v>31.5</v>
      </c>
      <c r="K183">
        <v>260</v>
      </c>
      <c r="L183">
        <v>2</v>
      </c>
      <c r="M183">
        <v>4</v>
      </c>
      <c r="N183">
        <v>4</v>
      </c>
      <c r="O183" s="2">
        <v>27.88</v>
      </c>
      <c r="P183" s="3">
        <v>0.9042</v>
      </c>
      <c r="Q183" s="4">
        <v>0.50962962962962999</v>
      </c>
      <c r="R183" s="4">
        <v>0.75694444444444453</v>
      </c>
      <c r="T183" s="13"/>
      <c r="U183" s="10">
        <v>36.933</v>
      </c>
      <c r="V183" s="2"/>
      <c r="W183" s="2" t="str">
        <f t="shared" si="38"/>
        <v>5:56:08</v>
      </c>
      <c r="X183" s="10">
        <v>0.06</v>
      </c>
      <c r="Y183" s="12">
        <f t="shared" si="39"/>
        <v>36.872999999999998</v>
      </c>
      <c r="AA183" s="10">
        <f t="shared" si="40"/>
        <v>36.872999999999998</v>
      </c>
      <c r="AB183" s="10" t="s">
        <v>90</v>
      </c>
      <c r="AC183" t="s">
        <v>78</v>
      </c>
    </row>
    <row r="184" spans="1:31" x14ac:dyDescent="0.25">
      <c r="A184">
        <v>102</v>
      </c>
      <c r="B184" t="s">
        <v>47</v>
      </c>
      <c r="C184" t="s">
        <v>48</v>
      </c>
      <c r="D184" t="s">
        <v>13</v>
      </c>
      <c r="E184" t="s">
        <v>4</v>
      </c>
      <c r="F184" s="1">
        <v>44984</v>
      </c>
      <c r="G184" s="1">
        <v>45119</v>
      </c>
      <c r="H184">
        <f t="shared" si="25"/>
        <v>135</v>
      </c>
      <c r="I184" t="s">
        <v>36</v>
      </c>
      <c r="J184">
        <v>31.5</v>
      </c>
      <c r="K184">
        <v>260</v>
      </c>
      <c r="L184">
        <v>2</v>
      </c>
      <c r="M184">
        <v>4</v>
      </c>
      <c r="N184">
        <v>3</v>
      </c>
      <c r="O184" s="2">
        <v>28.7</v>
      </c>
      <c r="P184" s="3">
        <v>0.97829999999999995</v>
      </c>
      <c r="Q184" s="4">
        <v>0.50962962962962999</v>
      </c>
      <c r="R184" s="4">
        <v>0.75694444444444453</v>
      </c>
      <c r="T184" s="13"/>
      <c r="U184" s="10">
        <v>36.933</v>
      </c>
      <c r="V184" s="2"/>
      <c r="W184" s="2" t="str">
        <f t="shared" si="38"/>
        <v>5:56:08</v>
      </c>
      <c r="X184" s="10">
        <v>0.06</v>
      </c>
      <c r="Y184" s="12">
        <f t="shared" si="39"/>
        <v>36.872999999999998</v>
      </c>
      <c r="AA184" s="10">
        <f t="shared" si="40"/>
        <v>36.872999999999998</v>
      </c>
      <c r="AB184" s="10" t="s">
        <v>90</v>
      </c>
      <c r="AC184" t="s">
        <v>77</v>
      </c>
    </row>
    <row r="185" spans="1:31" x14ac:dyDescent="0.25">
      <c r="A185">
        <v>74</v>
      </c>
      <c r="B185" t="s">
        <v>43</v>
      </c>
      <c r="C185" t="s">
        <v>44</v>
      </c>
      <c r="D185" t="s">
        <v>13</v>
      </c>
      <c r="E185" t="s">
        <v>4</v>
      </c>
      <c r="F185" s="1">
        <v>44958</v>
      </c>
      <c r="G185" s="1">
        <v>45086</v>
      </c>
      <c r="H185">
        <f t="shared" si="25"/>
        <v>128</v>
      </c>
      <c r="I185" t="s">
        <v>36</v>
      </c>
      <c r="J185">
        <v>28.5</v>
      </c>
      <c r="K185">
        <v>144</v>
      </c>
      <c r="L185">
        <v>1</v>
      </c>
      <c r="M185">
        <v>4</v>
      </c>
      <c r="N185">
        <v>1</v>
      </c>
      <c r="O185" s="2">
        <v>31.65</v>
      </c>
      <c r="P185" s="3">
        <v>1.2383</v>
      </c>
      <c r="Q185" s="4">
        <v>0.481793981481482</v>
      </c>
      <c r="R185" s="4">
        <v>0.72916666666666663</v>
      </c>
      <c r="S185" s="2">
        <f t="shared" ref="S185:S190" si="41">AVERAGE(T185:U185)</f>
        <v>36.9</v>
      </c>
      <c r="T185" s="13">
        <v>36.9</v>
      </c>
      <c r="V185" s="2"/>
      <c r="W185" s="2" t="str">
        <f t="shared" si="38"/>
        <v>5:56:13</v>
      </c>
      <c r="X185" s="10">
        <v>2.9250000000000002E-2</v>
      </c>
      <c r="Y185" s="12"/>
      <c r="AA185" s="10">
        <f t="shared" si="40"/>
        <v>36.9</v>
      </c>
      <c r="AB185" s="10" t="s">
        <v>90</v>
      </c>
    </row>
    <row r="186" spans="1:31" x14ac:dyDescent="0.25">
      <c r="A186">
        <v>75</v>
      </c>
      <c r="B186" t="s">
        <v>47</v>
      </c>
      <c r="C186" t="s">
        <v>48</v>
      </c>
      <c r="D186" t="s">
        <v>13</v>
      </c>
      <c r="E186" t="s">
        <v>4</v>
      </c>
      <c r="F186" s="1">
        <v>44959</v>
      </c>
      <c r="G186" s="1">
        <v>45078</v>
      </c>
      <c r="H186">
        <f t="shared" si="25"/>
        <v>119</v>
      </c>
      <c r="I186" t="s">
        <v>38</v>
      </c>
      <c r="J186">
        <v>28.5</v>
      </c>
      <c r="K186">
        <v>348</v>
      </c>
      <c r="L186">
        <v>1</v>
      </c>
      <c r="M186">
        <v>2</v>
      </c>
      <c r="N186">
        <v>2</v>
      </c>
      <c r="O186" s="2">
        <v>25.53</v>
      </c>
      <c r="P186" s="3">
        <v>0.49</v>
      </c>
      <c r="Q186" s="4">
        <v>0.51203703703703696</v>
      </c>
      <c r="R186" s="4">
        <v>0.76666666666666661</v>
      </c>
      <c r="S186" s="2">
        <f t="shared" si="41"/>
        <v>36.9</v>
      </c>
      <c r="T186" s="13">
        <v>36.9</v>
      </c>
      <c r="V186" s="2"/>
      <c r="W186" s="2" t="str">
        <f t="shared" si="38"/>
        <v>6:06:40</v>
      </c>
      <c r="Y186" s="12"/>
      <c r="AA186" s="10">
        <f t="shared" si="40"/>
        <v>36.9</v>
      </c>
      <c r="AB186" s="10" t="s">
        <v>90</v>
      </c>
      <c r="AD186" s="4"/>
      <c r="AE186" s="5"/>
    </row>
    <row r="187" spans="1:31" x14ac:dyDescent="0.25">
      <c r="A187">
        <v>75</v>
      </c>
      <c r="B187" t="s">
        <v>47</v>
      </c>
      <c r="C187" t="s">
        <v>48</v>
      </c>
      <c r="D187" t="s">
        <v>13</v>
      </c>
      <c r="E187" t="s">
        <v>4</v>
      </c>
      <c r="F187" s="1">
        <v>44959</v>
      </c>
      <c r="G187" s="1">
        <v>45078</v>
      </c>
      <c r="H187">
        <f t="shared" si="25"/>
        <v>119</v>
      </c>
      <c r="I187" t="s">
        <v>38</v>
      </c>
      <c r="J187">
        <v>28.5</v>
      </c>
      <c r="K187">
        <v>348</v>
      </c>
      <c r="L187">
        <v>1</v>
      </c>
      <c r="M187">
        <v>2</v>
      </c>
      <c r="N187">
        <v>1</v>
      </c>
      <c r="O187" s="2">
        <v>28.92</v>
      </c>
      <c r="P187" s="3">
        <v>0.78680000000000005</v>
      </c>
      <c r="Q187" s="4">
        <v>0.51203703703703696</v>
      </c>
      <c r="R187" s="4">
        <v>0.76874999999999993</v>
      </c>
      <c r="S187" s="2">
        <f t="shared" si="41"/>
        <v>36.9</v>
      </c>
      <c r="T187" s="13">
        <v>36.9</v>
      </c>
      <c r="V187" s="2"/>
      <c r="W187" s="2" t="str">
        <f t="shared" si="38"/>
        <v>6:09:40</v>
      </c>
      <c r="Y187" s="12"/>
      <c r="AA187" s="10">
        <f t="shared" si="40"/>
        <v>36.9</v>
      </c>
      <c r="AB187" s="10" t="s">
        <v>90</v>
      </c>
      <c r="AD187" s="4"/>
      <c r="AE187" s="5"/>
    </row>
    <row r="188" spans="1:31" x14ac:dyDescent="0.25">
      <c r="A188">
        <v>75</v>
      </c>
      <c r="B188" t="s">
        <v>47</v>
      </c>
      <c r="C188" t="s">
        <v>48</v>
      </c>
      <c r="D188" t="s">
        <v>13</v>
      </c>
      <c r="E188" t="s">
        <v>4</v>
      </c>
      <c r="F188" s="1">
        <v>44959</v>
      </c>
      <c r="G188" s="1">
        <v>45078</v>
      </c>
      <c r="H188">
        <f t="shared" si="25"/>
        <v>119</v>
      </c>
      <c r="I188" t="s">
        <v>38</v>
      </c>
      <c r="J188">
        <v>28.5</v>
      </c>
      <c r="K188">
        <v>348</v>
      </c>
      <c r="L188">
        <v>1</v>
      </c>
      <c r="M188">
        <v>2</v>
      </c>
      <c r="N188">
        <v>5</v>
      </c>
      <c r="O188" s="2">
        <v>32.24</v>
      </c>
      <c r="P188" s="3">
        <v>1.0857000000000001</v>
      </c>
      <c r="Q188" s="4">
        <v>0.51203703703703696</v>
      </c>
      <c r="R188" s="4">
        <v>0.76874999999999993</v>
      </c>
      <c r="S188" s="2">
        <f t="shared" si="41"/>
        <v>36.9</v>
      </c>
      <c r="T188" s="13">
        <v>36.9</v>
      </c>
      <c r="V188" s="2"/>
      <c r="W188" s="2" t="str">
        <f t="shared" si="38"/>
        <v>6:09:40</v>
      </c>
      <c r="Y188" s="12"/>
      <c r="AA188" s="10">
        <f t="shared" si="40"/>
        <v>36.9</v>
      </c>
      <c r="AB188" s="10" t="s">
        <v>90</v>
      </c>
      <c r="AD188" s="4"/>
      <c r="AE188" s="5"/>
    </row>
    <row r="189" spans="1:31" x14ac:dyDescent="0.25">
      <c r="A189">
        <v>75</v>
      </c>
      <c r="B189" t="s">
        <v>47</v>
      </c>
      <c r="C189" t="s">
        <v>48</v>
      </c>
      <c r="D189" t="s">
        <v>13</v>
      </c>
      <c r="E189" t="s">
        <v>4</v>
      </c>
      <c r="F189" s="1">
        <v>44959</v>
      </c>
      <c r="G189" s="1">
        <v>45078</v>
      </c>
      <c r="H189">
        <f t="shared" si="25"/>
        <v>119</v>
      </c>
      <c r="I189" t="s">
        <v>37</v>
      </c>
      <c r="J189">
        <v>30</v>
      </c>
      <c r="K189">
        <v>351</v>
      </c>
      <c r="L189">
        <v>1</v>
      </c>
      <c r="M189">
        <v>2</v>
      </c>
      <c r="N189">
        <v>1</v>
      </c>
      <c r="O189" s="2">
        <v>33.72</v>
      </c>
      <c r="P189" s="3">
        <v>1.3327</v>
      </c>
      <c r="Q189" s="4">
        <v>0.51203703703703696</v>
      </c>
      <c r="R189" s="4">
        <v>0.76874999999999993</v>
      </c>
      <c r="S189" s="2">
        <f t="shared" si="41"/>
        <v>36.9</v>
      </c>
      <c r="T189" s="13">
        <v>36.9</v>
      </c>
      <c r="V189" s="2"/>
      <c r="W189" s="2" t="str">
        <f t="shared" si="38"/>
        <v>6:09:40</v>
      </c>
      <c r="Y189" s="12"/>
      <c r="AA189" s="10">
        <f t="shared" si="40"/>
        <v>36.9</v>
      </c>
      <c r="AB189" s="10" t="s">
        <v>90</v>
      </c>
      <c r="AD189" s="4"/>
      <c r="AE189" s="5"/>
    </row>
    <row r="190" spans="1:31" x14ac:dyDescent="0.25">
      <c r="A190">
        <v>75</v>
      </c>
      <c r="B190" t="s">
        <v>47</v>
      </c>
      <c r="C190" t="s">
        <v>48</v>
      </c>
      <c r="D190" t="s">
        <v>13</v>
      </c>
      <c r="E190" t="s">
        <v>4</v>
      </c>
      <c r="F190" s="1">
        <v>44959</v>
      </c>
      <c r="G190" s="1">
        <v>45078</v>
      </c>
      <c r="H190">
        <f t="shared" si="25"/>
        <v>119</v>
      </c>
      <c r="I190" t="s">
        <v>37</v>
      </c>
      <c r="J190">
        <v>30</v>
      </c>
      <c r="K190">
        <v>351</v>
      </c>
      <c r="L190">
        <v>1</v>
      </c>
      <c r="M190">
        <v>2</v>
      </c>
      <c r="N190">
        <v>5</v>
      </c>
      <c r="O190" s="2">
        <v>34.909999999999997</v>
      </c>
      <c r="P190" s="3">
        <v>1.5759000000000001</v>
      </c>
      <c r="Q190" s="4">
        <v>0.51203703703703696</v>
      </c>
      <c r="R190" s="4">
        <v>0.76874999999999993</v>
      </c>
      <c r="S190" s="2">
        <f t="shared" si="41"/>
        <v>36.9</v>
      </c>
      <c r="T190" s="13">
        <v>36.9</v>
      </c>
      <c r="V190" s="2"/>
      <c r="W190" s="2" t="str">
        <f t="shared" si="38"/>
        <v>6:09:40</v>
      </c>
      <c r="Y190" s="12"/>
      <c r="AA190" s="10">
        <f t="shared" si="40"/>
        <v>36.9</v>
      </c>
      <c r="AB190" s="10" t="s">
        <v>90</v>
      </c>
      <c r="AD190" s="4"/>
      <c r="AE190" s="5"/>
    </row>
    <row r="191" spans="1:31" x14ac:dyDescent="0.25">
      <c r="A191">
        <v>102</v>
      </c>
      <c r="B191" t="s">
        <v>47</v>
      </c>
      <c r="C191" t="s">
        <v>48</v>
      </c>
      <c r="D191" t="s">
        <v>13</v>
      </c>
      <c r="E191" t="s">
        <v>4</v>
      </c>
      <c r="F191" s="1">
        <v>44984</v>
      </c>
      <c r="G191" s="1">
        <v>45120</v>
      </c>
      <c r="H191">
        <f t="shared" si="25"/>
        <v>136</v>
      </c>
      <c r="J191">
        <v>31.5</v>
      </c>
      <c r="K191">
        <v>223</v>
      </c>
      <c r="L191">
        <v>1</v>
      </c>
      <c r="O191" s="2">
        <v>31.9</v>
      </c>
      <c r="P191" s="3">
        <v>1.2224999999999999</v>
      </c>
      <c r="Q191" s="4">
        <v>0.48958333333333298</v>
      </c>
      <c r="R191" s="4">
        <v>0.73958333333333337</v>
      </c>
      <c r="S191" s="2"/>
      <c r="T191" s="13"/>
      <c r="V191" s="10"/>
      <c r="W191" s="2" t="str">
        <f t="shared" si="38"/>
        <v>6:00:00</v>
      </c>
      <c r="Y191" s="12"/>
      <c r="AA191" s="10">
        <v>36.9</v>
      </c>
      <c r="AB191" s="10" t="s">
        <v>91</v>
      </c>
      <c r="AD191" s="4"/>
      <c r="AE191" s="5"/>
    </row>
    <row r="192" spans="1:31" x14ac:dyDescent="0.25">
      <c r="A192">
        <v>74</v>
      </c>
      <c r="B192" t="s">
        <v>43</v>
      </c>
      <c r="C192" t="s">
        <v>44</v>
      </c>
      <c r="D192" t="s">
        <v>13</v>
      </c>
      <c r="E192" t="s">
        <v>4</v>
      </c>
      <c r="F192" s="1">
        <v>44958</v>
      </c>
      <c r="G192" s="1">
        <v>45086</v>
      </c>
      <c r="H192">
        <f t="shared" si="25"/>
        <v>128</v>
      </c>
      <c r="I192" t="s">
        <v>36</v>
      </c>
      <c r="J192">
        <v>28.5</v>
      </c>
      <c r="K192">
        <v>144</v>
      </c>
      <c r="L192">
        <v>1</v>
      </c>
      <c r="M192">
        <v>4</v>
      </c>
      <c r="N192">
        <v>3</v>
      </c>
      <c r="O192" s="2">
        <v>29.81</v>
      </c>
      <c r="P192" s="3">
        <v>1.0435000000000001</v>
      </c>
      <c r="Q192" s="4">
        <v>0.481793981481482</v>
      </c>
      <c r="R192" s="4">
        <v>0.7284722222222223</v>
      </c>
      <c r="S192" s="2">
        <f>AVERAGE(T192:U192)</f>
        <v>36.916499999999999</v>
      </c>
      <c r="T192" s="13">
        <v>36.9</v>
      </c>
      <c r="U192" s="10">
        <v>36.933</v>
      </c>
      <c r="V192" s="2">
        <f t="shared" ref="V192:V197" si="42">U192-T192</f>
        <v>3.3000000000001251E-2</v>
      </c>
      <c r="W192" s="2" t="str">
        <f t="shared" si="38"/>
        <v>5:55:13</v>
      </c>
      <c r="X192" s="10">
        <v>2.9250000000000002E-2</v>
      </c>
      <c r="Y192" s="12">
        <f t="shared" ref="Y192:Y197" si="43">U192-X192</f>
        <v>36.903750000000002</v>
      </c>
      <c r="Z192" s="10">
        <f t="shared" ref="Z192:Z197" si="44">Y192-T192</f>
        <v>3.7500000000036948E-3</v>
      </c>
      <c r="AA192" s="10">
        <f t="shared" ref="AA192:AA197" si="45">AVERAGE(Y192,T192)</f>
        <v>36.901875000000004</v>
      </c>
      <c r="AB192" s="10" t="s">
        <v>90</v>
      </c>
      <c r="AD192" s="4"/>
      <c r="AE192" s="5"/>
    </row>
    <row r="193" spans="1:31" x14ac:dyDescent="0.25">
      <c r="A193">
        <v>102</v>
      </c>
      <c r="B193" t="s">
        <v>47</v>
      </c>
      <c r="C193" t="s">
        <v>48</v>
      </c>
      <c r="D193" t="s">
        <v>13</v>
      </c>
      <c r="E193" t="s">
        <v>4</v>
      </c>
      <c r="F193" s="1">
        <v>44984</v>
      </c>
      <c r="G193" s="1">
        <v>45113</v>
      </c>
      <c r="H193">
        <f t="shared" si="25"/>
        <v>129</v>
      </c>
      <c r="I193" t="s">
        <v>38</v>
      </c>
      <c r="J193">
        <v>30</v>
      </c>
      <c r="K193">
        <v>353</v>
      </c>
      <c r="L193">
        <v>2</v>
      </c>
      <c r="M193">
        <v>5</v>
      </c>
      <c r="N193">
        <v>4</v>
      </c>
      <c r="O193" s="2">
        <v>27.32</v>
      </c>
      <c r="P193" s="3">
        <v>0.84589999999999999</v>
      </c>
      <c r="Q193" s="4">
        <v>0.48844907407407401</v>
      </c>
      <c r="R193" s="4">
        <v>0.73541666666666661</v>
      </c>
      <c r="T193" s="13">
        <v>36.9</v>
      </c>
      <c r="U193" s="10">
        <v>37.015000000000001</v>
      </c>
      <c r="V193" s="2">
        <f t="shared" si="42"/>
        <v>0.11500000000000199</v>
      </c>
      <c r="W193" s="2" t="str">
        <f t="shared" si="38"/>
        <v>5:55:38</v>
      </c>
      <c r="X193" s="10">
        <v>0.111</v>
      </c>
      <c r="Y193" s="12">
        <f t="shared" si="43"/>
        <v>36.904000000000003</v>
      </c>
      <c r="Z193" s="10">
        <f t="shared" si="44"/>
        <v>4.0000000000048885E-3</v>
      </c>
      <c r="AA193" s="10">
        <f t="shared" si="45"/>
        <v>36.902000000000001</v>
      </c>
      <c r="AB193" s="10" t="s">
        <v>90</v>
      </c>
      <c r="AD193" s="4"/>
      <c r="AE193" s="5"/>
    </row>
    <row r="194" spans="1:31" x14ac:dyDescent="0.25">
      <c r="A194">
        <v>102</v>
      </c>
      <c r="B194" t="s">
        <v>47</v>
      </c>
      <c r="C194" t="s">
        <v>48</v>
      </c>
      <c r="D194" t="s">
        <v>13</v>
      </c>
      <c r="E194" t="s">
        <v>4</v>
      </c>
      <c r="F194" s="1">
        <v>44984</v>
      </c>
      <c r="G194" s="1">
        <v>45119</v>
      </c>
      <c r="H194">
        <f t="shared" ref="H194:H257" si="46">G194-F194</f>
        <v>135</v>
      </c>
      <c r="I194" t="s">
        <v>36</v>
      </c>
      <c r="J194">
        <v>31.5</v>
      </c>
      <c r="K194">
        <v>260</v>
      </c>
      <c r="L194">
        <v>2</v>
      </c>
      <c r="M194">
        <v>4</v>
      </c>
      <c r="N194">
        <v>2</v>
      </c>
      <c r="O194" s="2">
        <v>26.97</v>
      </c>
      <c r="P194" s="3">
        <v>0.80740000000000001</v>
      </c>
      <c r="Q194" s="4">
        <v>0.50962962962962999</v>
      </c>
      <c r="R194" s="4">
        <v>0.7583333333333333</v>
      </c>
      <c r="T194" s="13">
        <v>36.9</v>
      </c>
      <c r="U194" s="10">
        <v>36.973999999999997</v>
      </c>
      <c r="V194" s="2">
        <f t="shared" si="42"/>
        <v>7.3999999999998067E-2</v>
      </c>
      <c r="W194" s="2" t="str">
        <f t="shared" si="38"/>
        <v>5:58:08</v>
      </c>
      <c r="X194" s="10">
        <v>0.06</v>
      </c>
      <c r="Y194" s="12">
        <f t="shared" si="43"/>
        <v>36.913999999999994</v>
      </c>
      <c r="Z194" s="10">
        <f t="shared" si="44"/>
        <v>1.3999999999995794E-2</v>
      </c>
      <c r="AA194" s="10">
        <f t="shared" si="45"/>
        <v>36.906999999999996</v>
      </c>
      <c r="AB194" s="10" t="s">
        <v>90</v>
      </c>
      <c r="AC194" t="s">
        <v>85</v>
      </c>
      <c r="AD194" s="4"/>
      <c r="AE194" s="5"/>
    </row>
    <row r="195" spans="1:31" x14ac:dyDescent="0.25">
      <c r="A195">
        <v>102</v>
      </c>
      <c r="B195" t="s">
        <v>47</v>
      </c>
      <c r="C195" t="s">
        <v>48</v>
      </c>
      <c r="D195" t="s">
        <v>13</v>
      </c>
      <c r="E195" t="s">
        <v>4</v>
      </c>
      <c r="F195" s="1">
        <v>44984</v>
      </c>
      <c r="G195" s="1">
        <v>45119</v>
      </c>
      <c r="H195">
        <f t="shared" si="46"/>
        <v>135</v>
      </c>
      <c r="I195" t="s">
        <v>36</v>
      </c>
      <c r="J195">
        <v>31.5</v>
      </c>
      <c r="K195">
        <v>260</v>
      </c>
      <c r="L195">
        <v>2</v>
      </c>
      <c r="M195">
        <v>4</v>
      </c>
      <c r="N195">
        <v>1</v>
      </c>
      <c r="O195" s="2">
        <v>26.97</v>
      </c>
      <c r="P195" s="3">
        <v>0.91669999999999996</v>
      </c>
      <c r="Q195" s="4">
        <v>0.50962962962962999</v>
      </c>
      <c r="R195" s="4">
        <v>0.7583333333333333</v>
      </c>
      <c r="T195" s="13">
        <v>36.9</v>
      </c>
      <c r="U195" s="10">
        <v>36.973999999999997</v>
      </c>
      <c r="V195" s="2">
        <f t="shared" si="42"/>
        <v>7.3999999999998067E-2</v>
      </c>
      <c r="W195" s="2" t="str">
        <f t="shared" si="38"/>
        <v>5:58:08</v>
      </c>
      <c r="X195" s="10">
        <v>0.06</v>
      </c>
      <c r="Y195" s="12">
        <f t="shared" si="43"/>
        <v>36.913999999999994</v>
      </c>
      <c r="Z195" s="10">
        <f t="shared" si="44"/>
        <v>1.3999999999995794E-2</v>
      </c>
      <c r="AA195" s="10">
        <f t="shared" si="45"/>
        <v>36.906999999999996</v>
      </c>
      <c r="AB195" s="10" t="s">
        <v>90</v>
      </c>
      <c r="AC195" t="s">
        <v>84</v>
      </c>
      <c r="AD195" s="4"/>
      <c r="AE195" s="5"/>
    </row>
    <row r="196" spans="1:31" x14ac:dyDescent="0.25">
      <c r="A196">
        <v>102</v>
      </c>
      <c r="B196" t="s">
        <v>47</v>
      </c>
      <c r="C196" t="s">
        <v>48</v>
      </c>
      <c r="D196" t="s">
        <v>13</v>
      </c>
      <c r="E196" t="s">
        <v>4</v>
      </c>
      <c r="F196" s="1">
        <v>44984</v>
      </c>
      <c r="G196" s="1">
        <v>45119</v>
      </c>
      <c r="H196">
        <f t="shared" si="46"/>
        <v>135</v>
      </c>
      <c r="I196" t="s">
        <v>36</v>
      </c>
      <c r="J196">
        <v>31.5</v>
      </c>
      <c r="K196">
        <v>260</v>
      </c>
      <c r="L196">
        <v>2</v>
      </c>
      <c r="M196">
        <v>4</v>
      </c>
      <c r="N196">
        <v>5</v>
      </c>
      <c r="O196" s="2">
        <v>27.96</v>
      </c>
      <c r="P196" s="3">
        <v>0.94230000000000003</v>
      </c>
      <c r="Q196" s="4">
        <v>0.50962962962962999</v>
      </c>
      <c r="R196" s="4">
        <v>0.7583333333333333</v>
      </c>
      <c r="T196" s="13">
        <v>36.9</v>
      </c>
      <c r="U196" s="10">
        <v>36.973999999999997</v>
      </c>
      <c r="V196" s="2">
        <f t="shared" si="42"/>
        <v>7.3999999999998067E-2</v>
      </c>
      <c r="W196" s="2" t="str">
        <f t="shared" si="38"/>
        <v>5:58:08</v>
      </c>
      <c r="X196" s="10">
        <v>0.06</v>
      </c>
      <c r="Y196" s="12">
        <f t="shared" si="43"/>
        <v>36.913999999999994</v>
      </c>
      <c r="Z196" s="10">
        <f t="shared" si="44"/>
        <v>1.3999999999995794E-2</v>
      </c>
      <c r="AA196" s="10">
        <f t="shared" si="45"/>
        <v>36.906999999999996</v>
      </c>
      <c r="AB196" s="10" t="s">
        <v>90</v>
      </c>
      <c r="AC196" t="s">
        <v>86</v>
      </c>
      <c r="AD196" s="4"/>
      <c r="AE196" s="5"/>
    </row>
    <row r="197" spans="1:31" x14ac:dyDescent="0.25">
      <c r="A197">
        <v>74</v>
      </c>
      <c r="B197" t="s">
        <v>43</v>
      </c>
      <c r="C197" t="s">
        <v>44</v>
      </c>
      <c r="D197" t="s">
        <v>13</v>
      </c>
      <c r="E197" t="s">
        <v>4</v>
      </c>
      <c r="F197" s="1">
        <v>44958</v>
      </c>
      <c r="G197" s="1">
        <v>45086</v>
      </c>
      <c r="H197">
        <f t="shared" si="46"/>
        <v>128</v>
      </c>
      <c r="I197" t="s">
        <v>36</v>
      </c>
      <c r="J197">
        <v>28.5</v>
      </c>
      <c r="K197">
        <v>144</v>
      </c>
      <c r="L197">
        <v>1</v>
      </c>
      <c r="M197">
        <v>4</v>
      </c>
      <c r="N197">
        <v>5</v>
      </c>
      <c r="O197" s="2">
        <v>31.96</v>
      </c>
      <c r="P197" s="3">
        <v>1.2475000000000001</v>
      </c>
      <c r="Q197" s="4">
        <v>0.481793981481482</v>
      </c>
      <c r="R197" s="4">
        <v>0.73055555555555562</v>
      </c>
      <c r="S197" s="2">
        <f>AVERAGE(T197:U197)</f>
        <v>36.9435</v>
      </c>
      <c r="T197" s="13">
        <v>36.9</v>
      </c>
      <c r="U197" s="10">
        <v>36.987000000000002</v>
      </c>
      <c r="V197" s="2">
        <f t="shared" si="42"/>
        <v>8.7000000000003297E-2</v>
      </c>
      <c r="W197" s="2" t="str">
        <f t="shared" si="38"/>
        <v>5:58:13</v>
      </c>
      <c r="X197" s="10">
        <v>2.9250000000000002E-2</v>
      </c>
      <c r="Y197" s="12">
        <f t="shared" si="43"/>
        <v>36.957750000000004</v>
      </c>
      <c r="Z197" s="10">
        <f t="shared" si="44"/>
        <v>5.7750000000005741E-2</v>
      </c>
      <c r="AA197" s="10">
        <f t="shared" si="45"/>
        <v>36.928875000000005</v>
      </c>
      <c r="AB197" s="10" t="s">
        <v>90</v>
      </c>
      <c r="AD197" s="4"/>
      <c r="AE197" s="5"/>
    </row>
    <row r="198" spans="1:31" x14ac:dyDescent="0.25">
      <c r="A198">
        <v>102</v>
      </c>
      <c r="B198" t="s">
        <v>47</v>
      </c>
      <c r="C198" t="s">
        <v>48</v>
      </c>
      <c r="D198" t="s">
        <v>13</v>
      </c>
      <c r="E198" t="s">
        <v>4</v>
      </c>
      <c r="F198" s="1">
        <v>44984</v>
      </c>
      <c r="G198" s="1">
        <v>45120</v>
      </c>
      <c r="H198">
        <f t="shared" si="46"/>
        <v>136</v>
      </c>
      <c r="J198">
        <v>31.5</v>
      </c>
      <c r="K198">
        <v>223</v>
      </c>
      <c r="L198">
        <v>1</v>
      </c>
      <c r="O198" s="2">
        <v>31.14</v>
      </c>
      <c r="P198" s="3">
        <v>1.2896000000000001</v>
      </c>
      <c r="Q198" s="4">
        <v>0.48958333333333331</v>
      </c>
      <c r="R198" s="4">
        <v>0.74097222222222225</v>
      </c>
      <c r="S198" s="2"/>
      <c r="T198" s="13"/>
      <c r="V198" s="10"/>
      <c r="W198" s="2" t="str">
        <f t="shared" si="38"/>
        <v>6:02:00</v>
      </c>
      <c r="Y198" s="12"/>
      <c r="AA198" s="10">
        <v>36.93</v>
      </c>
      <c r="AB198" s="10" t="s">
        <v>91</v>
      </c>
      <c r="AD198" s="4"/>
      <c r="AE198" s="5"/>
    </row>
    <row r="199" spans="1:31" x14ac:dyDescent="0.25">
      <c r="A199">
        <v>74</v>
      </c>
      <c r="B199" t="s">
        <v>43</v>
      </c>
      <c r="C199" t="s">
        <v>44</v>
      </c>
      <c r="D199" t="s">
        <v>13</v>
      </c>
      <c r="E199" t="s">
        <v>4</v>
      </c>
      <c r="F199" s="1">
        <v>44958</v>
      </c>
      <c r="G199" s="1">
        <v>45087</v>
      </c>
      <c r="H199">
        <f t="shared" si="46"/>
        <v>129</v>
      </c>
      <c r="J199">
        <v>30</v>
      </c>
      <c r="K199">
        <v>230</v>
      </c>
      <c r="L199">
        <v>1</v>
      </c>
      <c r="O199" s="2">
        <v>32.229999999999997</v>
      </c>
      <c r="P199" s="3">
        <v>1.2511000000000001</v>
      </c>
      <c r="Q199" s="4">
        <v>0.51041666666666696</v>
      </c>
      <c r="R199" s="4">
        <v>0.75694444444444453</v>
      </c>
      <c r="S199" s="2"/>
      <c r="T199" s="13"/>
      <c r="V199" s="10"/>
      <c r="W199" s="2" t="str">
        <f t="shared" si="38"/>
        <v>5:55:00</v>
      </c>
      <c r="Y199" s="12"/>
      <c r="AA199" s="10">
        <v>36.94</v>
      </c>
      <c r="AB199" s="10" t="s">
        <v>91</v>
      </c>
      <c r="AD199" s="4"/>
      <c r="AE199" s="5"/>
    </row>
    <row r="200" spans="1:31" x14ac:dyDescent="0.25">
      <c r="A200">
        <v>74</v>
      </c>
      <c r="B200" t="s">
        <v>43</v>
      </c>
      <c r="C200" t="s">
        <v>44</v>
      </c>
      <c r="D200" t="s">
        <v>13</v>
      </c>
      <c r="E200" t="s">
        <v>4</v>
      </c>
      <c r="F200" s="1">
        <v>44958</v>
      </c>
      <c r="G200" s="1">
        <v>45087</v>
      </c>
      <c r="H200">
        <f t="shared" si="46"/>
        <v>129</v>
      </c>
      <c r="J200">
        <v>30</v>
      </c>
      <c r="K200">
        <v>230</v>
      </c>
      <c r="L200">
        <v>1</v>
      </c>
      <c r="O200" s="2">
        <v>33.46</v>
      </c>
      <c r="P200" s="3">
        <v>1.3877999999999999</v>
      </c>
      <c r="Q200" s="4">
        <v>0.51041666666666696</v>
      </c>
      <c r="R200" s="4">
        <v>0.75694444444444497</v>
      </c>
      <c r="S200" s="2"/>
      <c r="T200" s="13"/>
      <c r="V200" s="10"/>
      <c r="W200" s="2" t="str">
        <f t="shared" si="38"/>
        <v>5:55:00</v>
      </c>
      <c r="Y200" s="12"/>
      <c r="AA200" s="10">
        <v>36.94</v>
      </c>
      <c r="AB200" s="10" t="s">
        <v>91</v>
      </c>
    </row>
    <row r="201" spans="1:31" x14ac:dyDescent="0.25">
      <c r="A201">
        <v>74</v>
      </c>
      <c r="B201" t="s">
        <v>43</v>
      </c>
      <c r="C201" t="s">
        <v>44</v>
      </c>
      <c r="D201" t="s">
        <v>13</v>
      </c>
      <c r="E201" t="s">
        <v>4</v>
      </c>
      <c r="F201" s="1">
        <v>44958</v>
      </c>
      <c r="G201" s="1">
        <v>45087</v>
      </c>
      <c r="H201">
        <f t="shared" si="46"/>
        <v>129</v>
      </c>
      <c r="J201">
        <v>31.5</v>
      </c>
      <c r="K201">
        <v>227</v>
      </c>
      <c r="L201">
        <v>1</v>
      </c>
      <c r="O201" s="2">
        <v>30.75</v>
      </c>
      <c r="P201" s="3">
        <v>1.1249</v>
      </c>
      <c r="Q201" s="4">
        <v>0.51041666666666696</v>
      </c>
      <c r="R201" s="4">
        <v>0.75694444444444497</v>
      </c>
      <c r="S201" s="2"/>
      <c r="T201" s="13"/>
      <c r="V201" s="10"/>
      <c r="W201" s="2" t="str">
        <f t="shared" si="38"/>
        <v>5:55:00</v>
      </c>
      <c r="Y201" s="12"/>
      <c r="AA201" s="10">
        <v>36.94</v>
      </c>
      <c r="AB201" s="10" t="s">
        <v>91</v>
      </c>
    </row>
    <row r="202" spans="1:31" x14ac:dyDescent="0.25">
      <c r="A202">
        <v>74</v>
      </c>
      <c r="B202" t="s">
        <v>43</v>
      </c>
      <c r="C202" t="s">
        <v>44</v>
      </c>
      <c r="D202" t="s">
        <v>13</v>
      </c>
      <c r="E202" t="s">
        <v>4</v>
      </c>
      <c r="F202" s="1">
        <v>44958</v>
      </c>
      <c r="G202" s="1">
        <v>45087</v>
      </c>
      <c r="H202">
        <f t="shared" si="46"/>
        <v>129</v>
      </c>
      <c r="J202">
        <v>31.5</v>
      </c>
      <c r="K202">
        <v>227</v>
      </c>
      <c r="L202">
        <v>1</v>
      </c>
      <c r="O202" s="2">
        <v>29.61</v>
      </c>
      <c r="P202" s="3">
        <v>0.96279999999999999</v>
      </c>
      <c r="Q202" s="4">
        <v>0.51041666666666663</v>
      </c>
      <c r="R202" s="4">
        <v>0.76041666666666663</v>
      </c>
      <c r="S202" s="2"/>
      <c r="T202" s="13"/>
      <c r="V202" s="10"/>
      <c r="W202" s="2" t="str">
        <f t="shared" si="38"/>
        <v>6:00:00</v>
      </c>
      <c r="Y202" s="12"/>
      <c r="AA202" s="10">
        <v>36.99</v>
      </c>
      <c r="AB202" s="10" t="s">
        <v>91</v>
      </c>
    </row>
    <row r="203" spans="1:31" x14ac:dyDescent="0.25">
      <c r="A203">
        <v>74</v>
      </c>
      <c r="B203" t="s">
        <v>43</v>
      </c>
      <c r="C203" t="s">
        <v>44</v>
      </c>
      <c r="D203" t="s">
        <v>13</v>
      </c>
      <c r="E203" t="s">
        <v>4</v>
      </c>
      <c r="F203" s="1">
        <v>44958</v>
      </c>
      <c r="G203" s="1">
        <v>45078</v>
      </c>
      <c r="H203">
        <f t="shared" si="46"/>
        <v>120</v>
      </c>
      <c r="I203" t="s">
        <v>38</v>
      </c>
      <c r="J203">
        <v>28.5</v>
      </c>
      <c r="K203">
        <v>241</v>
      </c>
      <c r="L203">
        <v>1</v>
      </c>
      <c r="M203">
        <v>1</v>
      </c>
      <c r="N203">
        <v>1</v>
      </c>
      <c r="O203" s="2">
        <v>30.92</v>
      </c>
      <c r="P203" s="3">
        <v>0.95820000000000005</v>
      </c>
      <c r="Q203" s="4">
        <v>0.51203703703703696</v>
      </c>
      <c r="R203" s="4">
        <v>0.76597222222222217</v>
      </c>
      <c r="S203" s="2">
        <f>AVERAGE(T203:U203)</f>
        <v>37</v>
      </c>
      <c r="T203" s="13">
        <v>37</v>
      </c>
      <c r="V203" s="2"/>
      <c r="W203" s="2" t="str">
        <f t="shared" si="38"/>
        <v>6:05:40</v>
      </c>
      <c r="Y203" s="12"/>
      <c r="AA203" s="10">
        <f>AVERAGE(Y203,T203)</f>
        <v>37</v>
      </c>
      <c r="AB203" s="10" t="s">
        <v>90</v>
      </c>
    </row>
    <row r="204" spans="1:31" x14ac:dyDescent="0.25">
      <c r="A204">
        <v>74</v>
      </c>
      <c r="B204" t="s">
        <v>43</v>
      </c>
      <c r="C204" t="s">
        <v>44</v>
      </c>
      <c r="D204" t="s">
        <v>13</v>
      </c>
      <c r="E204" t="s">
        <v>4</v>
      </c>
      <c r="F204" s="1">
        <v>44958</v>
      </c>
      <c r="G204" s="1">
        <v>45078</v>
      </c>
      <c r="H204">
        <f t="shared" si="46"/>
        <v>120</v>
      </c>
      <c r="I204" t="s">
        <v>38</v>
      </c>
      <c r="J204">
        <v>28.5</v>
      </c>
      <c r="K204">
        <v>241</v>
      </c>
      <c r="L204">
        <v>1</v>
      </c>
      <c r="M204">
        <v>1</v>
      </c>
      <c r="N204">
        <v>3</v>
      </c>
      <c r="O204" s="2">
        <v>31.62</v>
      </c>
      <c r="P204" s="3">
        <v>0.96240000000000003</v>
      </c>
      <c r="Q204" s="4">
        <v>0.51203703703703696</v>
      </c>
      <c r="R204" s="4">
        <v>0.76597222222222217</v>
      </c>
      <c r="S204" s="2">
        <f>AVERAGE(T204:U204)</f>
        <v>37</v>
      </c>
      <c r="T204" s="13">
        <v>37</v>
      </c>
      <c r="V204" s="2"/>
      <c r="W204" s="2" t="str">
        <f t="shared" si="38"/>
        <v>6:05:40</v>
      </c>
      <c r="Y204" s="12"/>
      <c r="AA204" s="10">
        <f>AVERAGE(Y204,T204)</f>
        <v>37</v>
      </c>
      <c r="AB204" s="10" t="s">
        <v>90</v>
      </c>
    </row>
    <row r="205" spans="1:31" x14ac:dyDescent="0.25">
      <c r="A205">
        <v>74</v>
      </c>
      <c r="B205" t="s">
        <v>43</v>
      </c>
      <c r="C205" t="s">
        <v>44</v>
      </c>
      <c r="D205" t="s">
        <v>13</v>
      </c>
      <c r="E205" t="s">
        <v>4</v>
      </c>
      <c r="F205" s="1">
        <v>44958</v>
      </c>
      <c r="G205" s="1">
        <v>45078</v>
      </c>
      <c r="H205">
        <f t="shared" si="46"/>
        <v>120</v>
      </c>
      <c r="I205" t="s">
        <v>38</v>
      </c>
      <c r="J205">
        <v>28.5</v>
      </c>
      <c r="K205">
        <v>241</v>
      </c>
      <c r="L205">
        <v>1</v>
      </c>
      <c r="M205">
        <v>1</v>
      </c>
      <c r="N205">
        <v>5</v>
      </c>
      <c r="O205" s="2">
        <v>32.14</v>
      </c>
      <c r="P205" s="3">
        <v>1.2015</v>
      </c>
      <c r="Q205" s="4">
        <v>0.51203703703703707</v>
      </c>
      <c r="R205" s="4">
        <v>0.76527777777777783</v>
      </c>
      <c r="S205" s="2">
        <f>AVERAGE(T205:U205)</f>
        <v>37</v>
      </c>
      <c r="T205" s="13">
        <v>37</v>
      </c>
      <c r="V205" s="2"/>
      <c r="W205" s="2" t="str">
        <f t="shared" si="38"/>
        <v>6:04:40</v>
      </c>
      <c r="Y205" s="12"/>
      <c r="AA205" s="10">
        <f>AVERAGE(Y205,T205)</f>
        <v>37</v>
      </c>
      <c r="AB205" s="10" t="s">
        <v>90</v>
      </c>
    </row>
    <row r="206" spans="1:31" x14ac:dyDescent="0.25">
      <c r="A206">
        <v>74</v>
      </c>
      <c r="B206" t="s">
        <v>43</v>
      </c>
      <c r="C206" t="s">
        <v>44</v>
      </c>
      <c r="D206" t="s">
        <v>13</v>
      </c>
      <c r="E206" t="s">
        <v>4</v>
      </c>
      <c r="F206" s="1">
        <v>44958</v>
      </c>
      <c r="G206" s="1">
        <v>45078</v>
      </c>
      <c r="H206">
        <f t="shared" si="46"/>
        <v>120</v>
      </c>
      <c r="I206" t="s">
        <v>38</v>
      </c>
      <c r="J206">
        <v>28.5</v>
      </c>
      <c r="K206">
        <v>241</v>
      </c>
      <c r="L206">
        <v>1</v>
      </c>
      <c r="M206">
        <v>1</v>
      </c>
      <c r="N206">
        <v>2</v>
      </c>
      <c r="O206" s="2">
        <v>36.42</v>
      </c>
      <c r="P206" s="3">
        <v>1.64</v>
      </c>
      <c r="Q206" s="4">
        <v>0.51203703703703696</v>
      </c>
      <c r="R206" s="4">
        <v>0.76597222222222217</v>
      </c>
      <c r="S206" s="2">
        <f>AVERAGE(T206:U206)</f>
        <v>37</v>
      </c>
      <c r="T206" s="13">
        <v>37</v>
      </c>
      <c r="V206" s="2"/>
      <c r="W206" s="2" t="str">
        <f t="shared" ref="W206:W237" si="47">TEXT(R206-Q206,"h:mm:ss")</f>
        <v>6:05:40</v>
      </c>
      <c r="Y206" s="12"/>
      <c r="AA206" s="10">
        <f>AVERAGE(Y206,T206)</f>
        <v>37</v>
      </c>
      <c r="AB206" s="10" t="s">
        <v>90</v>
      </c>
    </row>
    <row r="207" spans="1:31" x14ac:dyDescent="0.25">
      <c r="A207">
        <v>74</v>
      </c>
      <c r="B207" t="s">
        <v>43</v>
      </c>
      <c r="C207" t="s">
        <v>44</v>
      </c>
      <c r="D207" t="s">
        <v>13</v>
      </c>
      <c r="E207" t="s">
        <v>4</v>
      </c>
      <c r="F207" s="1">
        <v>44958</v>
      </c>
      <c r="G207" s="1">
        <v>45093</v>
      </c>
      <c r="H207">
        <f t="shared" si="46"/>
        <v>135</v>
      </c>
      <c r="J207">
        <v>28.5</v>
      </c>
      <c r="K207">
        <v>144</v>
      </c>
      <c r="L207">
        <v>1</v>
      </c>
      <c r="O207" s="2">
        <v>42.43</v>
      </c>
      <c r="P207" s="3">
        <v>2.9238</v>
      </c>
      <c r="Q207" s="4">
        <v>0.5</v>
      </c>
      <c r="R207" s="4">
        <v>0.74930555555555556</v>
      </c>
      <c r="S207" s="2"/>
      <c r="T207" s="13"/>
      <c r="V207" s="10"/>
      <c r="W207" s="2" t="str">
        <f t="shared" si="47"/>
        <v>5:59:00</v>
      </c>
      <c r="Y207" s="12"/>
      <c r="AA207" s="10">
        <v>37</v>
      </c>
      <c r="AB207" s="10" t="s">
        <v>91</v>
      </c>
    </row>
    <row r="208" spans="1:31" x14ac:dyDescent="0.25">
      <c r="A208">
        <v>74</v>
      </c>
      <c r="B208" t="s">
        <v>43</v>
      </c>
      <c r="C208" t="s">
        <v>44</v>
      </c>
      <c r="D208" t="s">
        <v>13</v>
      </c>
      <c r="E208" t="s">
        <v>4</v>
      </c>
      <c r="F208" s="1">
        <v>44958</v>
      </c>
      <c r="G208" s="1">
        <v>45078</v>
      </c>
      <c r="H208">
        <f t="shared" si="46"/>
        <v>120</v>
      </c>
      <c r="I208" t="s">
        <v>37</v>
      </c>
      <c r="J208">
        <v>30</v>
      </c>
      <c r="K208">
        <v>230</v>
      </c>
      <c r="L208">
        <v>1</v>
      </c>
      <c r="M208">
        <v>1</v>
      </c>
      <c r="N208">
        <v>1</v>
      </c>
      <c r="O208" s="2">
        <v>34.450000000000003</v>
      </c>
      <c r="P208" s="3">
        <v>1.3347</v>
      </c>
      <c r="Q208" s="4">
        <v>0.51203703703703696</v>
      </c>
      <c r="R208" s="4">
        <v>0.76597222222222217</v>
      </c>
      <c r="S208" s="2">
        <f t="shared" ref="S208:S214" si="48">AVERAGE(T208:U208)</f>
        <v>37</v>
      </c>
      <c r="T208" s="13">
        <v>37</v>
      </c>
      <c r="V208" s="2"/>
      <c r="W208" s="2" t="str">
        <f t="shared" si="47"/>
        <v>6:05:40</v>
      </c>
      <c r="Y208" s="12"/>
      <c r="AA208" s="10">
        <f t="shared" ref="AA208:AA229" si="49">AVERAGE(Y208,T208)</f>
        <v>37</v>
      </c>
      <c r="AB208" s="10" t="s">
        <v>90</v>
      </c>
    </row>
    <row r="209" spans="1:28" x14ac:dyDescent="0.25">
      <c r="A209">
        <v>74</v>
      </c>
      <c r="B209" t="s">
        <v>43</v>
      </c>
      <c r="C209" t="s">
        <v>44</v>
      </c>
      <c r="D209" t="s">
        <v>13</v>
      </c>
      <c r="E209" t="s">
        <v>4</v>
      </c>
      <c r="F209" s="1">
        <v>44958</v>
      </c>
      <c r="G209" s="1">
        <v>45078</v>
      </c>
      <c r="H209">
        <f t="shared" si="46"/>
        <v>120</v>
      </c>
      <c r="I209" t="s">
        <v>37</v>
      </c>
      <c r="J209">
        <v>30</v>
      </c>
      <c r="K209">
        <v>230</v>
      </c>
      <c r="L209">
        <v>1</v>
      </c>
      <c r="M209">
        <v>1</v>
      </c>
      <c r="N209">
        <v>3</v>
      </c>
      <c r="O209" s="2">
        <v>33.22</v>
      </c>
      <c r="P209" s="3">
        <v>1.3889</v>
      </c>
      <c r="Q209" s="4">
        <v>0.51203703703703707</v>
      </c>
      <c r="R209" s="4">
        <v>0.76527777777777783</v>
      </c>
      <c r="S209" s="2">
        <f t="shared" si="48"/>
        <v>37</v>
      </c>
      <c r="T209" s="13">
        <v>37</v>
      </c>
      <c r="V209" s="2"/>
      <c r="W209" s="2" t="str">
        <f t="shared" si="47"/>
        <v>6:04:40</v>
      </c>
      <c r="Y209" s="12"/>
      <c r="AA209" s="10">
        <f t="shared" si="49"/>
        <v>37</v>
      </c>
      <c r="AB209" s="10" t="s">
        <v>90</v>
      </c>
    </row>
    <row r="210" spans="1:28" x14ac:dyDescent="0.25">
      <c r="A210">
        <v>74</v>
      </c>
      <c r="B210" t="s">
        <v>43</v>
      </c>
      <c r="C210" t="s">
        <v>44</v>
      </c>
      <c r="D210" t="s">
        <v>13</v>
      </c>
      <c r="E210" t="s">
        <v>4</v>
      </c>
      <c r="F210" s="1">
        <v>44958</v>
      </c>
      <c r="G210" s="1">
        <v>45078</v>
      </c>
      <c r="H210">
        <f t="shared" si="46"/>
        <v>120</v>
      </c>
      <c r="I210" t="s">
        <v>37</v>
      </c>
      <c r="J210">
        <v>30</v>
      </c>
      <c r="K210">
        <v>230</v>
      </c>
      <c r="L210">
        <v>1</v>
      </c>
      <c r="M210">
        <v>1</v>
      </c>
      <c r="N210">
        <v>4</v>
      </c>
      <c r="O210" s="2">
        <v>35.950000000000003</v>
      </c>
      <c r="P210" s="3">
        <v>1.6527000000000001</v>
      </c>
      <c r="Q210" s="4">
        <v>0.51203703703703696</v>
      </c>
      <c r="R210" s="4">
        <v>0.76527777777777783</v>
      </c>
      <c r="S210" s="2">
        <f t="shared" si="48"/>
        <v>37</v>
      </c>
      <c r="T210" s="13">
        <v>37</v>
      </c>
      <c r="V210" s="2"/>
      <c r="W210" s="2" t="str">
        <f t="shared" si="47"/>
        <v>6:04:40</v>
      </c>
      <c r="Y210" s="12"/>
      <c r="AA210" s="10">
        <f t="shared" si="49"/>
        <v>37</v>
      </c>
      <c r="AB210" s="10" t="s">
        <v>90</v>
      </c>
    </row>
    <row r="211" spans="1:28" x14ac:dyDescent="0.25">
      <c r="A211">
        <v>75</v>
      </c>
      <c r="B211" t="s">
        <v>47</v>
      </c>
      <c r="C211" t="s">
        <v>48</v>
      </c>
      <c r="D211" t="s">
        <v>13</v>
      </c>
      <c r="E211" t="s">
        <v>4</v>
      </c>
      <c r="F211" s="1">
        <v>44959</v>
      </c>
      <c r="G211" s="1">
        <v>45083</v>
      </c>
      <c r="H211">
        <f t="shared" si="46"/>
        <v>124</v>
      </c>
      <c r="I211" t="s">
        <v>38</v>
      </c>
      <c r="J211">
        <v>31.5</v>
      </c>
      <c r="K211">
        <v>127</v>
      </c>
      <c r="L211">
        <v>2</v>
      </c>
      <c r="M211">
        <v>3</v>
      </c>
      <c r="N211">
        <v>1</v>
      </c>
      <c r="O211" s="2">
        <v>25.44</v>
      </c>
      <c r="P211" s="3">
        <v>0.64949999999999997</v>
      </c>
      <c r="Q211" s="4">
        <v>0.44003472222222201</v>
      </c>
      <c r="R211" s="4">
        <v>0.71319444444444446</v>
      </c>
      <c r="S211" s="2">
        <f t="shared" si="48"/>
        <v>37.124000000000002</v>
      </c>
      <c r="T211" s="13"/>
      <c r="U211" s="10">
        <v>37.124000000000002</v>
      </c>
      <c r="V211" s="2"/>
      <c r="W211" s="2" t="str">
        <f t="shared" si="47"/>
        <v>6:33:21</v>
      </c>
      <c r="X211" s="10">
        <v>0.1047</v>
      </c>
      <c r="Y211" s="12">
        <f t="shared" ref="Y211:Y223" si="50">U211-X211</f>
        <v>37.019300000000001</v>
      </c>
      <c r="AA211" s="10">
        <f t="shared" si="49"/>
        <v>37.019300000000001</v>
      </c>
      <c r="AB211" s="10" t="s">
        <v>90</v>
      </c>
    </row>
    <row r="212" spans="1:28" x14ac:dyDescent="0.25">
      <c r="A212">
        <v>75</v>
      </c>
      <c r="B212" t="s">
        <v>47</v>
      </c>
      <c r="C212" t="s">
        <v>48</v>
      </c>
      <c r="D212" t="s">
        <v>13</v>
      </c>
      <c r="E212" t="s">
        <v>4</v>
      </c>
      <c r="F212" s="1">
        <v>44959</v>
      </c>
      <c r="G212" s="1">
        <v>45083</v>
      </c>
      <c r="H212">
        <f t="shared" si="46"/>
        <v>124</v>
      </c>
      <c r="I212" t="s">
        <v>38</v>
      </c>
      <c r="J212">
        <v>31.5</v>
      </c>
      <c r="K212">
        <v>127</v>
      </c>
      <c r="L212">
        <v>2</v>
      </c>
      <c r="M212">
        <v>3</v>
      </c>
      <c r="N212">
        <v>4</v>
      </c>
      <c r="O212" s="2">
        <v>27.45</v>
      </c>
      <c r="P212" s="3">
        <v>0.83099999999999996</v>
      </c>
      <c r="Q212" s="4">
        <v>0.44003472222222201</v>
      </c>
      <c r="R212" s="4">
        <v>0.71319444444444446</v>
      </c>
      <c r="S212" s="2">
        <f t="shared" si="48"/>
        <v>37.124000000000002</v>
      </c>
      <c r="T212" s="13"/>
      <c r="U212" s="10">
        <v>37.124000000000002</v>
      </c>
      <c r="V212" s="2"/>
      <c r="W212" s="2" t="str">
        <f t="shared" si="47"/>
        <v>6:33:21</v>
      </c>
      <c r="X212" s="10">
        <v>0.1047</v>
      </c>
      <c r="Y212" s="12">
        <f t="shared" si="50"/>
        <v>37.019300000000001</v>
      </c>
      <c r="AA212" s="10">
        <f t="shared" si="49"/>
        <v>37.019300000000001</v>
      </c>
      <c r="AB212" s="10" t="s">
        <v>90</v>
      </c>
    </row>
    <row r="213" spans="1:28" x14ac:dyDescent="0.25">
      <c r="A213">
        <v>75</v>
      </c>
      <c r="B213" t="s">
        <v>47</v>
      </c>
      <c r="C213" t="s">
        <v>48</v>
      </c>
      <c r="D213" t="s">
        <v>13</v>
      </c>
      <c r="E213" t="s">
        <v>4</v>
      </c>
      <c r="F213" s="1">
        <v>44959</v>
      </c>
      <c r="G213" s="1">
        <v>45083</v>
      </c>
      <c r="H213">
        <f t="shared" si="46"/>
        <v>124</v>
      </c>
      <c r="I213" t="s">
        <v>38</v>
      </c>
      <c r="J213">
        <v>31.5</v>
      </c>
      <c r="K213">
        <v>127</v>
      </c>
      <c r="L213">
        <v>2</v>
      </c>
      <c r="M213">
        <v>3</v>
      </c>
      <c r="N213">
        <v>2</v>
      </c>
      <c r="O213" s="2">
        <v>28</v>
      </c>
      <c r="P213" s="3">
        <v>0.87970000000000004</v>
      </c>
      <c r="Q213" s="4">
        <v>0.44003472222222201</v>
      </c>
      <c r="R213" s="4">
        <v>0.71319444444444446</v>
      </c>
      <c r="S213" s="2">
        <f t="shared" si="48"/>
        <v>37.124000000000002</v>
      </c>
      <c r="T213" s="13"/>
      <c r="U213" s="10">
        <v>37.124000000000002</v>
      </c>
      <c r="V213" s="2"/>
      <c r="W213" s="2" t="str">
        <f t="shared" si="47"/>
        <v>6:33:21</v>
      </c>
      <c r="X213" s="10">
        <v>0.1047</v>
      </c>
      <c r="Y213" s="12">
        <f t="shared" si="50"/>
        <v>37.019300000000001</v>
      </c>
      <c r="AA213" s="10">
        <f t="shared" si="49"/>
        <v>37.019300000000001</v>
      </c>
      <c r="AB213" s="10" t="s">
        <v>90</v>
      </c>
    </row>
    <row r="214" spans="1:28" x14ac:dyDescent="0.25">
      <c r="A214">
        <v>75</v>
      </c>
      <c r="B214" t="s">
        <v>47</v>
      </c>
      <c r="C214" t="s">
        <v>48</v>
      </c>
      <c r="D214" t="s">
        <v>13</v>
      </c>
      <c r="E214" t="s">
        <v>4</v>
      </c>
      <c r="F214" s="1">
        <v>44959</v>
      </c>
      <c r="G214" s="1">
        <v>45083</v>
      </c>
      <c r="H214">
        <f t="shared" si="46"/>
        <v>124</v>
      </c>
      <c r="I214" t="s">
        <v>38</v>
      </c>
      <c r="J214">
        <v>31.5</v>
      </c>
      <c r="K214">
        <v>127</v>
      </c>
      <c r="L214">
        <v>2</v>
      </c>
      <c r="M214">
        <v>3</v>
      </c>
      <c r="N214">
        <v>3</v>
      </c>
      <c r="O214" s="2">
        <v>30.12</v>
      </c>
      <c r="P214" s="3">
        <v>1.1579999999999999</v>
      </c>
      <c r="Q214" s="4">
        <v>0.44003472222222201</v>
      </c>
      <c r="R214" s="4">
        <v>0.71319444444444446</v>
      </c>
      <c r="S214" s="2">
        <f t="shared" si="48"/>
        <v>37.124000000000002</v>
      </c>
      <c r="T214" s="13"/>
      <c r="U214" s="10">
        <v>37.124000000000002</v>
      </c>
      <c r="V214" s="2"/>
      <c r="W214" s="2" t="str">
        <f t="shared" si="47"/>
        <v>6:33:21</v>
      </c>
      <c r="X214" s="10">
        <v>0.1047</v>
      </c>
      <c r="Y214" s="12">
        <f t="shared" si="50"/>
        <v>37.019300000000001</v>
      </c>
      <c r="AA214" s="10">
        <f t="shared" si="49"/>
        <v>37.019300000000001</v>
      </c>
      <c r="AB214" s="10" t="s">
        <v>90</v>
      </c>
    </row>
    <row r="215" spans="1:28" x14ac:dyDescent="0.25">
      <c r="A215">
        <v>102</v>
      </c>
      <c r="B215" t="s">
        <v>47</v>
      </c>
      <c r="C215" t="s">
        <v>48</v>
      </c>
      <c r="D215" t="s">
        <v>13</v>
      </c>
      <c r="E215" t="s">
        <v>4</v>
      </c>
      <c r="F215" s="1">
        <v>44984</v>
      </c>
      <c r="G215" s="1">
        <v>45113</v>
      </c>
      <c r="H215">
        <f t="shared" si="46"/>
        <v>129</v>
      </c>
      <c r="I215" t="s">
        <v>36</v>
      </c>
      <c r="J215">
        <v>31.5</v>
      </c>
      <c r="K215">
        <v>223</v>
      </c>
      <c r="L215">
        <v>1</v>
      </c>
      <c r="M215">
        <v>5</v>
      </c>
      <c r="N215">
        <v>4</v>
      </c>
      <c r="O215" s="2">
        <v>24.25</v>
      </c>
      <c r="P215" s="3">
        <v>0.56689999999999996</v>
      </c>
      <c r="Q215" s="4">
        <v>0.48844907407407401</v>
      </c>
      <c r="R215" s="4">
        <v>0.7402777777777777</v>
      </c>
      <c r="T215" s="13">
        <v>37.1</v>
      </c>
      <c r="U215" s="10">
        <v>37.095999999999997</v>
      </c>
      <c r="V215" s="2">
        <f t="shared" ref="V215:V220" si="51">U215-T215</f>
        <v>-4.0000000000048885E-3</v>
      </c>
      <c r="W215" s="2" t="str">
        <f t="shared" si="47"/>
        <v>6:02:38</v>
      </c>
      <c r="X215" s="10">
        <v>0.111</v>
      </c>
      <c r="Y215" s="12">
        <f t="shared" si="50"/>
        <v>36.984999999999999</v>
      </c>
      <c r="Z215" s="10">
        <f t="shared" ref="Z215:Z220" si="52">Y215-T215</f>
        <v>-0.11500000000000199</v>
      </c>
      <c r="AA215" s="10">
        <f t="shared" si="49"/>
        <v>37.042500000000004</v>
      </c>
      <c r="AB215" s="10" t="s">
        <v>90</v>
      </c>
    </row>
    <row r="216" spans="1:28" x14ac:dyDescent="0.25">
      <c r="A216">
        <v>102</v>
      </c>
      <c r="B216" t="s">
        <v>47</v>
      </c>
      <c r="C216" t="s">
        <v>48</v>
      </c>
      <c r="D216" t="s">
        <v>13</v>
      </c>
      <c r="E216" t="s">
        <v>4</v>
      </c>
      <c r="F216" s="1">
        <v>44984</v>
      </c>
      <c r="G216" s="1">
        <v>45113</v>
      </c>
      <c r="H216">
        <f t="shared" si="46"/>
        <v>129</v>
      </c>
      <c r="I216" t="s">
        <v>36</v>
      </c>
      <c r="J216">
        <v>31.5</v>
      </c>
      <c r="K216">
        <v>223</v>
      </c>
      <c r="L216">
        <v>1</v>
      </c>
      <c r="M216">
        <v>5</v>
      </c>
      <c r="N216">
        <v>5</v>
      </c>
      <c r="O216" s="2">
        <v>29.32</v>
      </c>
      <c r="P216" s="3">
        <v>0.9798</v>
      </c>
      <c r="Q216" s="4">
        <v>0.48844907407407401</v>
      </c>
      <c r="R216" s="4">
        <v>0.7402777777777777</v>
      </c>
      <c r="T216" s="13">
        <v>37.1</v>
      </c>
      <c r="U216" s="10">
        <v>37.095999999999997</v>
      </c>
      <c r="V216" s="2">
        <f t="shared" si="51"/>
        <v>-4.0000000000048885E-3</v>
      </c>
      <c r="W216" s="2" t="str">
        <f t="shared" si="47"/>
        <v>6:02:38</v>
      </c>
      <c r="X216" s="10">
        <v>0.111</v>
      </c>
      <c r="Y216" s="12">
        <f t="shared" si="50"/>
        <v>36.984999999999999</v>
      </c>
      <c r="Z216" s="10">
        <f t="shared" si="52"/>
        <v>-0.11500000000000199</v>
      </c>
      <c r="AA216" s="10">
        <f t="shared" si="49"/>
        <v>37.042500000000004</v>
      </c>
      <c r="AB216" s="10" t="s">
        <v>90</v>
      </c>
    </row>
    <row r="217" spans="1:28" x14ac:dyDescent="0.25">
      <c r="A217">
        <v>74</v>
      </c>
      <c r="B217" t="s">
        <v>43</v>
      </c>
      <c r="C217" t="s">
        <v>44</v>
      </c>
      <c r="D217" t="s">
        <v>13</v>
      </c>
      <c r="E217" t="s">
        <v>4</v>
      </c>
      <c r="F217" s="1">
        <v>44958</v>
      </c>
      <c r="G217" s="1">
        <v>45086</v>
      </c>
      <c r="H217">
        <f t="shared" si="46"/>
        <v>128</v>
      </c>
      <c r="I217" t="s">
        <v>38</v>
      </c>
      <c r="J217">
        <v>31.5</v>
      </c>
      <c r="K217">
        <v>227</v>
      </c>
      <c r="L217">
        <v>2</v>
      </c>
      <c r="M217">
        <v>4</v>
      </c>
      <c r="N217">
        <v>3</v>
      </c>
      <c r="O217" s="2">
        <v>25.85</v>
      </c>
      <c r="P217" s="3">
        <v>0.70309999999999995</v>
      </c>
      <c r="Q217" s="4">
        <v>0.481793981481482</v>
      </c>
      <c r="R217" s="4">
        <v>0.73333333333333339</v>
      </c>
      <c r="S217" s="2">
        <f>AVERAGE(T217:U217)</f>
        <v>37.084500000000006</v>
      </c>
      <c r="T217" s="13">
        <v>37.1</v>
      </c>
      <c r="U217" s="10">
        <v>37.069000000000003</v>
      </c>
      <c r="V217" s="2">
        <f t="shared" si="51"/>
        <v>-3.0999999999998806E-2</v>
      </c>
      <c r="W217" s="2" t="str">
        <f t="shared" si="47"/>
        <v>6:02:13</v>
      </c>
      <c r="X217" s="10">
        <v>2.9250000000000002E-2</v>
      </c>
      <c r="Y217" s="12">
        <f t="shared" si="50"/>
        <v>37.039750000000005</v>
      </c>
      <c r="Z217" s="10">
        <f t="shared" si="52"/>
        <v>-6.0249999999996362E-2</v>
      </c>
      <c r="AA217" s="10">
        <f t="shared" si="49"/>
        <v>37.069875000000003</v>
      </c>
      <c r="AB217" s="10" t="s">
        <v>90</v>
      </c>
    </row>
    <row r="218" spans="1:28" x14ac:dyDescent="0.25">
      <c r="A218">
        <v>74</v>
      </c>
      <c r="B218" t="s">
        <v>43</v>
      </c>
      <c r="C218" t="s">
        <v>44</v>
      </c>
      <c r="D218" t="s">
        <v>13</v>
      </c>
      <c r="E218" t="s">
        <v>4</v>
      </c>
      <c r="F218" s="1">
        <v>44958</v>
      </c>
      <c r="G218" s="1">
        <v>45086</v>
      </c>
      <c r="H218">
        <f t="shared" si="46"/>
        <v>128</v>
      </c>
      <c r="I218" t="s">
        <v>38</v>
      </c>
      <c r="J218">
        <v>31.5</v>
      </c>
      <c r="K218">
        <v>227</v>
      </c>
      <c r="L218">
        <v>2</v>
      </c>
      <c r="M218">
        <v>4</v>
      </c>
      <c r="N218">
        <v>2</v>
      </c>
      <c r="O218" s="2">
        <v>26.05</v>
      </c>
      <c r="P218" s="3">
        <v>0.7591</v>
      </c>
      <c r="Q218" s="4">
        <v>0.481793981481482</v>
      </c>
      <c r="R218" s="4">
        <v>0.73333333333333339</v>
      </c>
      <c r="S218" s="2">
        <f>AVERAGE(T218:U218)</f>
        <v>37.084500000000006</v>
      </c>
      <c r="T218" s="13">
        <v>37.1</v>
      </c>
      <c r="U218" s="10">
        <v>37.069000000000003</v>
      </c>
      <c r="V218" s="2">
        <f t="shared" si="51"/>
        <v>-3.0999999999998806E-2</v>
      </c>
      <c r="W218" s="2" t="str">
        <f t="shared" si="47"/>
        <v>6:02:13</v>
      </c>
      <c r="X218" s="10">
        <v>2.9250000000000002E-2</v>
      </c>
      <c r="Y218" s="12">
        <f t="shared" si="50"/>
        <v>37.039750000000005</v>
      </c>
      <c r="Z218" s="10">
        <f t="shared" si="52"/>
        <v>-6.0249999999996362E-2</v>
      </c>
      <c r="AA218" s="10">
        <f t="shared" si="49"/>
        <v>37.069875000000003</v>
      </c>
      <c r="AB218" s="10" t="s">
        <v>90</v>
      </c>
    </row>
    <row r="219" spans="1:28" x14ac:dyDescent="0.25">
      <c r="A219">
        <v>102</v>
      </c>
      <c r="B219" t="s">
        <v>47</v>
      </c>
      <c r="C219" t="s">
        <v>48</v>
      </c>
      <c r="D219" t="s">
        <v>13</v>
      </c>
      <c r="E219" t="s">
        <v>4</v>
      </c>
      <c r="F219" s="1">
        <v>44984</v>
      </c>
      <c r="G219" s="1">
        <v>45113</v>
      </c>
      <c r="H219">
        <f t="shared" si="46"/>
        <v>129</v>
      </c>
      <c r="I219" t="s">
        <v>36</v>
      </c>
      <c r="J219">
        <v>31.5</v>
      </c>
      <c r="K219">
        <v>223</v>
      </c>
      <c r="L219">
        <v>1</v>
      </c>
      <c r="M219">
        <v>5</v>
      </c>
      <c r="N219">
        <v>2</v>
      </c>
      <c r="O219" s="2">
        <v>26</v>
      </c>
      <c r="P219" s="3">
        <v>0.76390000000000002</v>
      </c>
      <c r="Q219" s="4">
        <v>0.48844907407407401</v>
      </c>
      <c r="R219" s="4">
        <v>0.74236111111111114</v>
      </c>
      <c r="T219" s="13">
        <v>37.1</v>
      </c>
      <c r="U219" s="10">
        <v>37.151000000000003</v>
      </c>
      <c r="V219" s="2">
        <f t="shared" si="51"/>
        <v>5.1000000000001933E-2</v>
      </c>
      <c r="W219" s="2" t="str">
        <f t="shared" si="47"/>
        <v>6:05:38</v>
      </c>
      <c r="X219" s="10">
        <v>0.111</v>
      </c>
      <c r="Y219" s="12">
        <f t="shared" si="50"/>
        <v>37.040000000000006</v>
      </c>
      <c r="Z219" s="10">
        <f t="shared" si="52"/>
        <v>-5.9999999999995168E-2</v>
      </c>
      <c r="AA219" s="10">
        <f t="shared" si="49"/>
        <v>37.070000000000007</v>
      </c>
      <c r="AB219" s="10" t="s">
        <v>90</v>
      </c>
    </row>
    <row r="220" spans="1:28" x14ac:dyDescent="0.25">
      <c r="A220">
        <v>102</v>
      </c>
      <c r="B220" t="s">
        <v>47</v>
      </c>
      <c r="C220" t="s">
        <v>48</v>
      </c>
      <c r="D220" t="s">
        <v>13</v>
      </c>
      <c r="E220" t="s">
        <v>4</v>
      </c>
      <c r="F220" s="1">
        <v>44984</v>
      </c>
      <c r="G220" s="1">
        <v>45113</v>
      </c>
      <c r="H220">
        <f t="shared" si="46"/>
        <v>129</v>
      </c>
      <c r="I220" t="s">
        <v>36</v>
      </c>
      <c r="J220">
        <v>31.5</v>
      </c>
      <c r="K220">
        <v>223</v>
      </c>
      <c r="L220">
        <v>1</v>
      </c>
      <c r="M220">
        <v>5</v>
      </c>
      <c r="N220">
        <v>3</v>
      </c>
      <c r="O220" s="2">
        <v>33.33</v>
      </c>
      <c r="P220" s="3">
        <v>1.5324</v>
      </c>
      <c r="Q220" s="4">
        <v>0.48844907407407401</v>
      </c>
      <c r="R220" s="4">
        <v>0.74236111111111114</v>
      </c>
      <c r="T220" s="13">
        <v>37.1</v>
      </c>
      <c r="U220" s="10">
        <v>37.151000000000003</v>
      </c>
      <c r="V220" s="2">
        <f t="shared" si="51"/>
        <v>5.1000000000001933E-2</v>
      </c>
      <c r="W220" s="2" t="str">
        <f t="shared" si="47"/>
        <v>6:05:38</v>
      </c>
      <c r="X220" s="10">
        <v>0.111</v>
      </c>
      <c r="Y220" s="12">
        <f t="shared" si="50"/>
        <v>37.040000000000006</v>
      </c>
      <c r="Z220" s="10">
        <f t="shared" si="52"/>
        <v>-5.9999999999995168E-2</v>
      </c>
      <c r="AA220" s="10">
        <f t="shared" si="49"/>
        <v>37.070000000000007</v>
      </c>
      <c r="AB220" s="10" t="s">
        <v>90</v>
      </c>
    </row>
    <row r="221" spans="1:28" x14ac:dyDescent="0.25">
      <c r="A221">
        <v>75</v>
      </c>
      <c r="B221" t="s">
        <v>47</v>
      </c>
      <c r="C221" t="s">
        <v>48</v>
      </c>
      <c r="D221" t="s">
        <v>13</v>
      </c>
      <c r="E221" t="s">
        <v>4</v>
      </c>
      <c r="F221" s="1">
        <v>44959</v>
      </c>
      <c r="G221" s="1">
        <v>45083</v>
      </c>
      <c r="H221">
        <f t="shared" si="46"/>
        <v>124</v>
      </c>
      <c r="I221" t="s">
        <v>38</v>
      </c>
      <c r="J221">
        <v>31.5</v>
      </c>
      <c r="K221">
        <v>127</v>
      </c>
      <c r="L221">
        <v>2</v>
      </c>
      <c r="M221">
        <v>3</v>
      </c>
      <c r="N221">
        <v>5</v>
      </c>
      <c r="O221" s="2">
        <v>24.36</v>
      </c>
      <c r="P221" s="3">
        <v>0.62180000000000002</v>
      </c>
      <c r="Q221" s="4">
        <v>0.44003472222222201</v>
      </c>
      <c r="R221" s="4">
        <v>0.71458333333333324</v>
      </c>
      <c r="S221" s="2">
        <f t="shared" ref="S221:S229" si="53">AVERAGE(T221:U221)</f>
        <v>37.177999999999997</v>
      </c>
      <c r="T221" s="13"/>
      <c r="U221" s="10">
        <v>37.177999999999997</v>
      </c>
      <c r="V221" s="2"/>
      <c r="W221" s="2" t="str">
        <f t="shared" si="47"/>
        <v>6:35:21</v>
      </c>
      <c r="X221" s="10">
        <v>0.1047</v>
      </c>
      <c r="Y221" s="12">
        <f t="shared" si="50"/>
        <v>37.073299999999996</v>
      </c>
      <c r="AA221" s="10">
        <f t="shared" si="49"/>
        <v>37.073299999999996</v>
      </c>
      <c r="AB221" s="10" t="s">
        <v>90</v>
      </c>
    </row>
    <row r="222" spans="1:28" x14ac:dyDescent="0.25">
      <c r="A222">
        <v>74</v>
      </c>
      <c r="B222" t="s">
        <v>43</v>
      </c>
      <c r="C222" t="s">
        <v>44</v>
      </c>
      <c r="D222" t="s">
        <v>13</v>
      </c>
      <c r="E222" t="s">
        <v>4</v>
      </c>
      <c r="F222" s="1">
        <v>44958</v>
      </c>
      <c r="G222" s="1">
        <v>45086</v>
      </c>
      <c r="H222">
        <f t="shared" si="46"/>
        <v>128</v>
      </c>
      <c r="I222" t="s">
        <v>38</v>
      </c>
      <c r="J222">
        <v>31.5</v>
      </c>
      <c r="K222">
        <v>227</v>
      </c>
      <c r="L222">
        <v>2</v>
      </c>
      <c r="M222">
        <v>4</v>
      </c>
      <c r="N222">
        <v>1</v>
      </c>
      <c r="O222" s="2">
        <v>26.87</v>
      </c>
      <c r="P222" s="3">
        <v>0.79949999999999999</v>
      </c>
      <c r="Q222" s="4">
        <v>0.481793981481482</v>
      </c>
      <c r="R222" s="4">
        <v>0.7368055555555556</v>
      </c>
      <c r="S222" s="2">
        <f t="shared" si="53"/>
        <v>37.112000000000002</v>
      </c>
      <c r="T222" s="13">
        <v>37.1</v>
      </c>
      <c r="U222" s="10">
        <v>37.124000000000002</v>
      </c>
      <c r="V222" s="2">
        <f>U222-T222</f>
        <v>2.4000000000000909E-2</v>
      </c>
      <c r="W222" s="2" t="str">
        <f t="shared" si="47"/>
        <v>6:07:13</v>
      </c>
      <c r="X222" s="10">
        <v>2.9250000000000002E-2</v>
      </c>
      <c r="Y222" s="12">
        <f t="shared" si="50"/>
        <v>37.094750000000005</v>
      </c>
      <c r="Z222" s="10">
        <f>Y222-T222</f>
        <v>-5.2499999999966462E-3</v>
      </c>
      <c r="AA222" s="10">
        <f t="shared" si="49"/>
        <v>37.097375</v>
      </c>
      <c r="AB222" s="10" t="s">
        <v>90</v>
      </c>
    </row>
    <row r="223" spans="1:28" x14ac:dyDescent="0.25">
      <c r="A223">
        <v>74</v>
      </c>
      <c r="B223" t="s">
        <v>43</v>
      </c>
      <c r="C223" t="s">
        <v>44</v>
      </c>
      <c r="D223" t="s">
        <v>13</v>
      </c>
      <c r="E223" t="s">
        <v>4</v>
      </c>
      <c r="F223" s="1">
        <v>44958</v>
      </c>
      <c r="G223" s="1">
        <v>45086</v>
      </c>
      <c r="H223">
        <f t="shared" si="46"/>
        <v>128</v>
      </c>
      <c r="I223" t="s">
        <v>38</v>
      </c>
      <c r="J223">
        <v>31.5</v>
      </c>
      <c r="K223">
        <v>227</v>
      </c>
      <c r="L223">
        <v>2</v>
      </c>
      <c r="M223">
        <v>4</v>
      </c>
      <c r="N223">
        <v>4</v>
      </c>
      <c r="O223" s="2">
        <v>33.94</v>
      </c>
      <c r="P223" s="3">
        <v>1.4585999999999999</v>
      </c>
      <c r="Q223" s="4">
        <v>0.481793981481482</v>
      </c>
      <c r="R223" s="4">
        <v>0.7368055555555556</v>
      </c>
      <c r="S223" s="2">
        <f t="shared" si="53"/>
        <v>37.112000000000002</v>
      </c>
      <c r="T223" s="13">
        <v>37.1</v>
      </c>
      <c r="U223" s="10">
        <v>37.124000000000002</v>
      </c>
      <c r="V223" s="2">
        <f>U223-T223</f>
        <v>2.4000000000000909E-2</v>
      </c>
      <c r="W223" s="2" t="str">
        <f t="shared" si="47"/>
        <v>6:07:13</v>
      </c>
      <c r="X223" s="10">
        <v>2.9250000000000002E-2</v>
      </c>
      <c r="Y223" s="12">
        <f t="shared" si="50"/>
        <v>37.094750000000005</v>
      </c>
      <c r="Z223" s="10">
        <f>Y223-T223</f>
        <v>-5.2499999999966462E-3</v>
      </c>
      <c r="AA223" s="10">
        <f t="shared" si="49"/>
        <v>37.097375</v>
      </c>
      <c r="AB223" s="10" t="s">
        <v>90</v>
      </c>
    </row>
    <row r="224" spans="1:28" x14ac:dyDescent="0.25">
      <c r="A224">
        <v>74</v>
      </c>
      <c r="B224" t="s">
        <v>43</v>
      </c>
      <c r="C224" t="s">
        <v>44</v>
      </c>
      <c r="D224" t="s">
        <v>13</v>
      </c>
      <c r="E224" t="s">
        <v>4</v>
      </c>
      <c r="F224" s="1">
        <v>44958</v>
      </c>
      <c r="G224" s="1">
        <v>45078</v>
      </c>
      <c r="H224">
        <f t="shared" si="46"/>
        <v>120</v>
      </c>
      <c r="I224" t="s">
        <v>38</v>
      </c>
      <c r="J224">
        <v>28.5</v>
      </c>
      <c r="K224">
        <v>241</v>
      </c>
      <c r="L224">
        <v>1</v>
      </c>
      <c r="M224">
        <v>1</v>
      </c>
      <c r="N224">
        <v>4</v>
      </c>
      <c r="O224" s="2">
        <v>32.47</v>
      </c>
      <c r="P224" s="3">
        <v>1.2492000000000001</v>
      </c>
      <c r="Q224" s="4">
        <v>0.51203703703703696</v>
      </c>
      <c r="R224" s="4">
        <v>0.76874999999999993</v>
      </c>
      <c r="S224" s="2">
        <f t="shared" si="53"/>
        <v>37.1</v>
      </c>
      <c r="T224" s="13">
        <v>37.1</v>
      </c>
      <c r="V224" s="2"/>
      <c r="W224" s="2" t="str">
        <f t="shared" si="47"/>
        <v>6:09:40</v>
      </c>
      <c r="Y224" s="12"/>
      <c r="AA224" s="10">
        <f t="shared" si="49"/>
        <v>37.1</v>
      </c>
      <c r="AB224" s="10" t="s">
        <v>90</v>
      </c>
    </row>
    <row r="225" spans="1:28" x14ac:dyDescent="0.25">
      <c r="A225">
        <v>74</v>
      </c>
      <c r="B225" t="s">
        <v>43</v>
      </c>
      <c r="C225" t="s">
        <v>44</v>
      </c>
      <c r="D225" t="s">
        <v>13</v>
      </c>
      <c r="E225" t="s">
        <v>4</v>
      </c>
      <c r="F225" s="1">
        <v>44958</v>
      </c>
      <c r="G225" s="1">
        <v>45086</v>
      </c>
      <c r="H225">
        <f t="shared" si="46"/>
        <v>128</v>
      </c>
      <c r="I225" t="s">
        <v>36</v>
      </c>
      <c r="J225">
        <v>28.5</v>
      </c>
      <c r="K225">
        <v>144</v>
      </c>
      <c r="L225">
        <v>1</v>
      </c>
      <c r="M225">
        <v>4</v>
      </c>
      <c r="N225">
        <v>4</v>
      </c>
      <c r="O225" s="2">
        <v>34.93</v>
      </c>
      <c r="P225" s="3">
        <v>1.7807999999999999</v>
      </c>
      <c r="Q225" s="4">
        <v>0.481793981481482</v>
      </c>
      <c r="R225" s="4">
        <v>0.73333333333333339</v>
      </c>
      <c r="S225" s="2">
        <f t="shared" si="53"/>
        <v>37.1</v>
      </c>
      <c r="T225" s="13">
        <v>37.1</v>
      </c>
      <c r="V225" s="2"/>
      <c r="W225" s="2" t="str">
        <f t="shared" si="47"/>
        <v>6:02:13</v>
      </c>
      <c r="X225" s="10">
        <v>2.9250000000000002E-2</v>
      </c>
      <c r="Y225" s="12"/>
      <c r="AA225" s="10">
        <f t="shared" si="49"/>
        <v>37.1</v>
      </c>
      <c r="AB225" s="10" t="s">
        <v>90</v>
      </c>
    </row>
    <row r="226" spans="1:28" x14ac:dyDescent="0.25">
      <c r="A226">
        <v>74</v>
      </c>
      <c r="B226" t="s">
        <v>43</v>
      </c>
      <c r="C226" t="s">
        <v>44</v>
      </c>
      <c r="D226" t="s">
        <v>13</v>
      </c>
      <c r="E226" t="s">
        <v>4</v>
      </c>
      <c r="F226" s="1">
        <v>44958</v>
      </c>
      <c r="G226" s="1">
        <v>45078</v>
      </c>
      <c r="H226">
        <f t="shared" si="46"/>
        <v>120</v>
      </c>
      <c r="I226" t="s">
        <v>37</v>
      </c>
      <c r="J226">
        <v>30</v>
      </c>
      <c r="K226">
        <v>230</v>
      </c>
      <c r="L226">
        <v>1</v>
      </c>
      <c r="M226">
        <v>1</v>
      </c>
      <c r="N226">
        <v>2</v>
      </c>
      <c r="O226" s="2">
        <v>36.78</v>
      </c>
      <c r="P226" s="3">
        <v>1.8984000000000001</v>
      </c>
      <c r="Q226" s="4">
        <v>0.51203703703703696</v>
      </c>
      <c r="S226" s="2">
        <f t="shared" si="53"/>
        <v>37.1</v>
      </c>
      <c r="T226" s="13">
        <v>37.1</v>
      </c>
      <c r="V226" s="2"/>
      <c r="W226" s="2" t="e">
        <f t="shared" si="47"/>
        <v>#VALUE!</v>
      </c>
      <c r="Y226" s="12"/>
      <c r="AA226" s="10">
        <f t="shared" si="49"/>
        <v>37.1</v>
      </c>
      <c r="AB226" s="10" t="s">
        <v>90</v>
      </c>
    </row>
    <row r="227" spans="1:28" x14ac:dyDescent="0.25">
      <c r="A227">
        <v>75</v>
      </c>
      <c r="B227" t="s">
        <v>47</v>
      </c>
      <c r="C227" t="s">
        <v>48</v>
      </c>
      <c r="D227" t="s">
        <v>13</v>
      </c>
      <c r="E227" t="s">
        <v>4</v>
      </c>
      <c r="F227" s="1">
        <v>44959</v>
      </c>
      <c r="G227" s="1">
        <v>45078</v>
      </c>
      <c r="H227">
        <f t="shared" si="46"/>
        <v>119</v>
      </c>
      <c r="I227" t="s">
        <v>38</v>
      </c>
      <c r="J227">
        <v>28.5</v>
      </c>
      <c r="K227">
        <v>348</v>
      </c>
      <c r="L227">
        <v>1</v>
      </c>
      <c r="M227">
        <v>2</v>
      </c>
      <c r="N227">
        <v>3</v>
      </c>
      <c r="O227" s="2">
        <v>27.8</v>
      </c>
      <c r="P227" s="3">
        <v>0.67030000000000001</v>
      </c>
      <c r="Q227" s="4">
        <v>0.51203703703703696</v>
      </c>
      <c r="S227" s="2">
        <f t="shared" si="53"/>
        <v>37.1</v>
      </c>
      <c r="T227" s="13">
        <v>37.1</v>
      </c>
      <c r="V227" s="2"/>
      <c r="W227" s="2" t="e">
        <f t="shared" si="47"/>
        <v>#VALUE!</v>
      </c>
      <c r="Y227" s="12"/>
      <c r="AA227" s="10">
        <f t="shared" si="49"/>
        <v>37.1</v>
      </c>
      <c r="AB227" s="10" t="s">
        <v>90</v>
      </c>
    </row>
    <row r="228" spans="1:28" x14ac:dyDescent="0.25">
      <c r="A228">
        <v>75</v>
      </c>
      <c r="B228" t="s">
        <v>47</v>
      </c>
      <c r="C228" t="s">
        <v>48</v>
      </c>
      <c r="D228" t="s">
        <v>13</v>
      </c>
      <c r="E228" t="s">
        <v>4</v>
      </c>
      <c r="F228" s="1">
        <v>44959</v>
      </c>
      <c r="G228" s="1">
        <v>45078</v>
      </c>
      <c r="H228">
        <f t="shared" si="46"/>
        <v>119</v>
      </c>
      <c r="I228" t="s">
        <v>38</v>
      </c>
      <c r="J228">
        <v>28.5</v>
      </c>
      <c r="K228">
        <v>348</v>
      </c>
      <c r="L228">
        <v>1</v>
      </c>
      <c r="M228">
        <v>2</v>
      </c>
      <c r="N228">
        <v>4</v>
      </c>
      <c r="O228" s="2">
        <v>28.01</v>
      </c>
      <c r="P228" s="3">
        <v>0.76190000000000002</v>
      </c>
      <c r="Q228" s="4">
        <v>0.51203703703703696</v>
      </c>
      <c r="S228" s="2">
        <f t="shared" si="53"/>
        <v>37.1</v>
      </c>
      <c r="T228" s="13">
        <v>37.1</v>
      </c>
      <c r="V228" s="2"/>
      <c r="W228" s="2" t="e">
        <f t="shared" si="47"/>
        <v>#VALUE!</v>
      </c>
      <c r="Y228" s="12"/>
      <c r="AA228" s="10">
        <f t="shared" si="49"/>
        <v>37.1</v>
      </c>
      <c r="AB228" s="10" t="s">
        <v>90</v>
      </c>
    </row>
    <row r="229" spans="1:28" x14ac:dyDescent="0.25">
      <c r="A229">
        <v>75</v>
      </c>
      <c r="B229" t="s">
        <v>47</v>
      </c>
      <c r="C229" t="s">
        <v>48</v>
      </c>
      <c r="D229" t="s">
        <v>13</v>
      </c>
      <c r="E229" t="s">
        <v>4</v>
      </c>
      <c r="F229" s="1">
        <v>44959</v>
      </c>
      <c r="G229" s="1">
        <v>45078</v>
      </c>
      <c r="H229">
        <f t="shared" si="46"/>
        <v>119</v>
      </c>
      <c r="I229" t="s">
        <v>37</v>
      </c>
      <c r="J229">
        <v>30</v>
      </c>
      <c r="K229">
        <v>351</v>
      </c>
      <c r="L229">
        <v>1</v>
      </c>
      <c r="M229">
        <v>2</v>
      </c>
      <c r="N229">
        <v>4</v>
      </c>
      <c r="O229" s="2">
        <v>30.3</v>
      </c>
      <c r="P229" s="3">
        <v>0.96319999999999995</v>
      </c>
      <c r="Q229" s="4">
        <v>0.51203703703703696</v>
      </c>
      <c r="S229" s="2">
        <f t="shared" si="53"/>
        <v>37.1</v>
      </c>
      <c r="T229" s="13">
        <v>37.1</v>
      </c>
      <c r="V229" s="2"/>
      <c r="W229" s="2" t="e">
        <f t="shared" si="47"/>
        <v>#VALUE!</v>
      </c>
      <c r="Y229" s="12"/>
      <c r="AA229" s="10">
        <f t="shared" si="49"/>
        <v>37.1</v>
      </c>
      <c r="AB229" s="10" t="s">
        <v>90</v>
      </c>
    </row>
    <row r="230" spans="1:28" x14ac:dyDescent="0.25">
      <c r="A230">
        <v>75</v>
      </c>
      <c r="B230" t="s">
        <v>47</v>
      </c>
      <c r="C230" t="s">
        <v>48</v>
      </c>
      <c r="D230" t="s">
        <v>13</v>
      </c>
      <c r="E230" t="s">
        <v>4</v>
      </c>
      <c r="F230" s="1">
        <v>44959</v>
      </c>
      <c r="G230" s="1">
        <v>45078</v>
      </c>
      <c r="H230">
        <f t="shared" si="46"/>
        <v>119</v>
      </c>
      <c r="J230">
        <v>30</v>
      </c>
      <c r="K230">
        <v>351</v>
      </c>
      <c r="L230">
        <v>1</v>
      </c>
      <c r="O230" s="2">
        <v>27.78</v>
      </c>
      <c r="P230" s="3">
        <v>0.73380000000000001</v>
      </c>
      <c r="Q230" s="4">
        <v>0.51203703703703696</v>
      </c>
      <c r="R230" s="4">
        <v>0.7729166666666667</v>
      </c>
      <c r="S230" s="2"/>
      <c r="T230" s="13"/>
      <c r="V230" s="10"/>
      <c r="W230" s="2" t="str">
        <f t="shared" si="47"/>
        <v>6:15:40</v>
      </c>
      <c r="Y230" s="12"/>
      <c r="AA230" s="10">
        <v>37.14</v>
      </c>
      <c r="AB230" s="10" t="s">
        <v>91</v>
      </c>
    </row>
    <row r="231" spans="1:28" x14ac:dyDescent="0.25">
      <c r="A231">
        <v>74</v>
      </c>
      <c r="B231" t="s">
        <v>43</v>
      </c>
      <c r="C231" t="s">
        <v>44</v>
      </c>
      <c r="D231" t="s">
        <v>13</v>
      </c>
      <c r="E231" t="s">
        <v>4</v>
      </c>
      <c r="F231" s="1">
        <v>44958</v>
      </c>
      <c r="G231" s="1">
        <v>45086</v>
      </c>
      <c r="H231">
        <f t="shared" si="46"/>
        <v>128</v>
      </c>
      <c r="I231" t="s">
        <v>38</v>
      </c>
      <c r="J231">
        <v>31.5</v>
      </c>
      <c r="K231">
        <v>227</v>
      </c>
      <c r="L231">
        <v>2</v>
      </c>
      <c r="M231">
        <v>4</v>
      </c>
      <c r="N231">
        <v>5</v>
      </c>
      <c r="O231" s="2">
        <v>31.81</v>
      </c>
      <c r="P231" s="3">
        <v>1.2839</v>
      </c>
      <c r="Q231" s="4">
        <v>0.481793981481482</v>
      </c>
      <c r="R231" s="4">
        <v>0.74236111111111114</v>
      </c>
      <c r="S231" s="2">
        <f t="shared" ref="S231:S236" si="54">AVERAGE(T231:U231)</f>
        <v>37.15</v>
      </c>
      <c r="T231" s="13">
        <v>37.15</v>
      </c>
      <c r="V231" s="2"/>
      <c r="W231" s="2" t="str">
        <f t="shared" si="47"/>
        <v>6:15:13</v>
      </c>
      <c r="X231" s="10">
        <v>2.9250000000000002E-2</v>
      </c>
      <c r="Y231" s="12"/>
      <c r="AA231" s="10">
        <f t="shared" ref="AA231:AA236" si="55">AVERAGE(Y231,T231)</f>
        <v>37.15</v>
      </c>
      <c r="AB231" s="10" t="s">
        <v>90</v>
      </c>
    </row>
    <row r="232" spans="1:28" x14ac:dyDescent="0.25">
      <c r="A232">
        <v>74</v>
      </c>
      <c r="B232" t="s">
        <v>43</v>
      </c>
      <c r="C232" t="s">
        <v>44</v>
      </c>
      <c r="D232" t="s">
        <v>13</v>
      </c>
      <c r="E232" t="s">
        <v>4</v>
      </c>
      <c r="F232" s="1">
        <v>44958</v>
      </c>
      <c r="G232" s="1">
        <v>45078</v>
      </c>
      <c r="H232">
        <f t="shared" si="46"/>
        <v>120</v>
      </c>
      <c r="I232" t="s">
        <v>37</v>
      </c>
      <c r="J232">
        <v>30</v>
      </c>
      <c r="K232">
        <v>230</v>
      </c>
      <c r="L232">
        <v>1</v>
      </c>
      <c r="M232">
        <v>1</v>
      </c>
      <c r="N232">
        <v>5</v>
      </c>
      <c r="O232" s="2">
        <v>30.08</v>
      </c>
      <c r="P232" s="3">
        <v>0.91849999999999998</v>
      </c>
      <c r="Q232" s="4">
        <v>0.51203703703703696</v>
      </c>
      <c r="S232" s="2">
        <f t="shared" si="54"/>
        <v>37.200000000000003</v>
      </c>
      <c r="T232" s="13">
        <v>37.200000000000003</v>
      </c>
      <c r="V232" s="2"/>
      <c r="W232" s="2" t="e">
        <f t="shared" si="47"/>
        <v>#VALUE!</v>
      </c>
      <c r="Y232" s="12"/>
      <c r="AA232" s="10">
        <f t="shared" si="55"/>
        <v>37.200000000000003</v>
      </c>
      <c r="AB232" s="10" t="s">
        <v>90</v>
      </c>
    </row>
    <row r="233" spans="1:28" x14ac:dyDescent="0.25">
      <c r="A233">
        <v>74</v>
      </c>
      <c r="B233" t="s">
        <v>43</v>
      </c>
      <c r="C233" t="s">
        <v>44</v>
      </c>
      <c r="D233" t="s">
        <v>13</v>
      </c>
      <c r="E233" t="s">
        <v>4</v>
      </c>
      <c r="F233" s="1">
        <v>44958</v>
      </c>
      <c r="G233" s="1">
        <v>45078</v>
      </c>
      <c r="H233">
        <f t="shared" si="46"/>
        <v>120</v>
      </c>
      <c r="I233" t="s">
        <v>36</v>
      </c>
      <c r="J233">
        <v>31.5</v>
      </c>
      <c r="K233">
        <v>227</v>
      </c>
      <c r="L233">
        <v>1</v>
      </c>
      <c r="M233">
        <v>1</v>
      </c>
      <c r="N233">
        <v>3</v>
      </c>
      <c r="O233" s="2">
        <v>24.58</v>
      </c>
      <c r="P233" s="3">
        <v>0.55859999999999999</v>
      </c>
      <c r="Q233" s="4">
        <v>0.51203703703703696</v>
      </c>
      <c r="S233" s="2">
        <f t="shared" si="54"/>
        <v>37.200000000000003</v>
      </c>
      <c r="T233" s="13">
        <v>37.200000000000003</v>
      </c>
      <c r="V233" s="2"/>
      <c r="W233" s="2" t="e">
        <f t="shared" si="47"/>
        <v>#VALUE!</v>
      </c>
      <c r="Y233" s="12"/>
      <c r="AA233" s="10">
        <f t="shared" si="55"/>
        <v>37.200000000000003</v>
      </c>
      <c r="AB233" s="10" t="s">
        <v>90</v>
      </c>
    </row>
    <row r="234" spans="1:28" x14ac:dyDescent="0.25">
      <c r="A234">
        <v>74</v>
      </c>
      <c r="B234" t="s">
        <v>43</v>
      </c>
      <c r="C234" t="s">
        <v>44</v>
      </c>
      <c r="D234" t="s">
        <v>13</v>
      </c>
      <c r="E234" t="s">
        <v>4</v>
      </c>
      <c r="F234" s="1">
        <v>44958</v>
      </c>
      <c r="G234" s="1">
        <v>45078</v>
      </c>
      <c r="H234">
        <f t="shared" si="46"/>
        <v>120</v>
      </c>
      <c r="I234" t="s">
        <v>36</v>
      </c>
      <c r="J234">
        <v>31.5</v>
      </c>
      <c r="K234">
        <v>227</v>
      </c>
      <c r="L234">
        <v>1</v>
      </c>
      <c r="M234">
        <v>1</v>
      </c>
      <c r="N234">
        <v>5</v>
      </c>
      <c r="O234" s="2">
        <v>29.27</v>
      </c>
      <c r="P234" s="3">
        <v>1.0115000000000001</v>
      </c>
      <c r="Q234" s="4">
        <v>0.51203703703703696</v>
      </c>
      <c r="S234" s="2">
        <f t="shared" si="54"/>
        <v>37.200000000000003</v>
      </c>
      <c r="T234" s="13">
        <v>37.200000000000003</v>
      </c>
      <c r="V234" s="2"/>
      <c r="W234" s="2" t="e">
        <f t="shared" si="47"/>
        <v>#VALUE!</v>
      </c>
      <c r="Y234" s="12"/>
      <c r="AA234" s="10">
        <f t="shared" si="55"/>
        <v>37.200000000000003</v>
      </c>
      <c r="AB234" s="10" t="s">
        <v>90</v>
      </c>
    </row>
    <row r="235" spans="1:28" x14ac:dyDescent="0.25">
      <c r="A235">
        <v>75</v>
      </c>
      <c r="B235" t="s">
        <v>47</v>
      </c>
      <c r="C235" t="s">
        <v>48</v>
      </c>
      <c r="D235" t="s">
        <v>13</v>
      </c>
      <c r="E235" t="s">
        <v>4</v>
      </c>
      <c r="F235" s="1">
        <v>44959</v>
      </c>
      <c r="G235" s="1">
        <v>45078</v>
      </c>
      <c r="H235">
        <f t="shared" si="46"/>
        <v>119</v>
      </c>
      <c r="I235" t="s">
        <v>37</v>
      </c>
      <c r="J235">
        <v>30</v>
      </c>
      <c r="K235">
        <v>351</v>
      </c>
      <c r="L235">
        <v>1</v>
      </c>
      <c r="M235">
        <v>2</v>
      </c>
      <c r="N235">
        <v>3</v>
      </c>
      <c r="O235" s="2">
        <v>30.49</v>
      </c>
      <c r="P235" s="3">
        <v>0.96589999999999998</v>
      </c>
      <c r="Q235" s="4">
        <v>0.51203703703703696</v>
      </c>
      <c r="S235" s="2">
        <f t="shared" si="54"/>
        <v>37.200000000000003</v>
      </c>
      <c r="T235" s="13">
        <v>37.200000000000003</v>
      </c>
      <c r="V235" s="2"/>
      <c r="W235" s="2" t="e">
        <f t="shared" si="47"/>
        <v>#VALUE!</v>
      </c>
      <c r="Y235" s="12"/>
      <c r="AA235" s="10">
        <f t="shared" si="55"/>
        <v>37.200000000000003</v>
      </c>
      <c r="AB235" s="10" t="s">
        <v>90</v>
      </c>
    </row>
    <row r="236" spans="1:28" x14ac:dyDescent="0.25">
      <c r="A236">
        <v>75</v>
      </c>
      <c r="B236" t="s">
        <v>47</v>
      </c>
      <c r="C236" t="s">
        <v>48</v>
      </c>
      <c r="D236" t="s">
        <v>13</v>
      </c>
      <c r="E236" t="s">
        <v>4</v>
      </c>
      <c r="F236" s="1">
        <v>44959</v>
      </c>
      <c r="G236" s="1">
        <v>45078</v>
      </c>
      <c r="H236">
        <f t="shared" si="46"/>
        <v>119</v>
      </c>
      <c r="I236" t="s">
        <v>37</v>
      </c>
      <c r="J236">
        <v>30</v>
      </c>
      <c r="K236">
        <v>351</v>
      </c>
      <c r="L236">
        <v>1</v>
      </c>
      <c r="M236">
        <v>2</v>
      </c>
      <c r="N236">
        <v>2</v>
      </c>
      <c r="O236" s="2">
        <v>32.33</v>
      </c>
      <c r="P236" s="3">
        <v>1.2464999999999999</v>
      </c>
      <c r="Q236" s="4">
        <v>0.51203703703703696</v>
      </c>
      <c r="S236" s="2">
        <f t="shared" si="54"/>
        <v>37.200000000000003</v>
      </c>
      <c r="T236" s="13">
        <v>37.200000000000003</v>
      </c>
      <c r="V236" s="2"/>
      <c r="W236" s="2" t="e">
        <f t="shared" si="47"/>
        <v>#VALUE!</v>
      </c>
      <c r="Y236" s="12"/>
      <c r="AA236" s="10">
        <f t="shared" si="55"/>
        <v>37.200000000000003</v>
      </c>
      <c r="AB236" s="10" t="s">
        <v>90</v>
      </c>
    </row>
    <row r="237" spans="1:28" x14ac:dyDescent="0.25">
      <c r="A237">
        <v>75</v>
      </c>
      <c r="B237" t="s">
        <v>47</v>
      </c>
      <c r="C237" t="s">
        <v>48</v>
      </c>
      <c r="D237" t="s">
        <v>13</v>
      </c>
      <c r="E237" t="s">
        <v>4</v>
      </c>
      <c r="F237" s="1">
        <v>44959</v>
      </c>
      <c r="G237" s="1">
        <v>45078</v>
      </c>
      <c r="H237">
        <f t="shared" si="46"/>
        <v>119</v>
      </c>
      <c r="J237">
        <v>30</v>
      </c>
      <c r="K237">
        <v>351</v>
      </c>
      <c r="L237">
        <v>1</v>
      </c>
      <c r="O237" s="2">
        <v>33.51</v>
      </c>
      <c r="P237" s="3">
        <v>1.2357</v>
      </c>
      <c r="Q237" s="4">
        <v>0.51203703703703696</v>
      </c>
      <c r="R237" s="4">
        <v>0.7715277777777777</v>
      </c>
      <c r="S237" s="2"/>
      <c r="T237" s="13"/>
      <c r="V237" s="10"/>
      <c r="W237" s="2" t="str">
        <f t="shared" si="47"/>
        <v>6:13:40</v>
      </c>
      <c r="Y237" s="12"/>
      <c r="AA237" s="10">
        <v>37.200000000000003</v>
      </c>
      <c r="AB237" s="10" t="s">
        <v>91</v>
      </c>
    </row>
    <row r="238" spans="1:28" x14ac:dyDescent="0.25">
      <c r="A238">
        <v>75</v>
      </c>
      <c r="B238" t="s">
        <v>47</v>
      </c>
      <c r="C238" t="s">
        <v>48</v>
      </c>
      <c r="D238" t="s">
        <v>13</v>
      </c>
      <c r="E238" t="s">
        <v>4</v>
      </c>
      <c r="F238" s="1">
        <v>44959</v>
      </c>
      <c r="G238" s="1">
        <v>45088</v>
      </c>
      <c r="H238">
        <f t="shared" si="46"/>
        <v>129</v>
      </c>
      <c r="J238">
        <v>31.5</v>
      </c>
      <c r="K238">
        <v>355</v>
      </c>
      <c r="L238">
        <v>1</v>
      </c>
      <c r="O238" s="2">
        <v>34.83</v>
      </c>
      <c r="P238" s="3">
        <v>1.556</v>
      </c>
      <c r="Q238" s="4">
        <v>0.54236111111111096</v>
      </c>
      <c r="R238" s="4">
        <v>0.8041666666666667</v>
      </c>
      <c r="S238" s="2"/>
      <c r="T238" s="13"/>
      <c r="V238" s="10"/>
      <c r="W238" s="2" t="str">
        <f t="shared" ref="W238:W247" si="56">TEXT(R238-Q238,"h:mm:ss")</f>
        <v>6:17:00</v>
      </c>
      <c r="Y238" s="12"/>
      <c r="AA238" s="10">
        <v>37.25</v>
      </c>
      <c r="AB238" s="10" t="s">
        <v>91</v>
      </c>
    </row>
    <row r="239" spans="1:28" x14ac:dyDescent="0.25">
      <c r="A239">
        <v>75</v>
      </c>
      <c r="B239" t="s">
        <v>47</v>
      </c>
      <c r="C239" t="s">
        <v>48</v>
      </c>
      <c r="D239" t="s">
        <v>13</v>
      </c>
      <c r="E239" t="s">
        <v>4</v>
      </c>
      <c r="F239" s="1">
        <v>44959</v>
      </c>
      <c r="G239" s="1">
        <v>45088</v>
      </c>
      <c r="H239">
        <f t="shared" si="46"/>
        <v>129</v>
      </c>
      <c r="J239">
        <v>31.5</v>
      </c>
      <c r="K239">
        <v>355</v>
      </c>
      <c r="L239">
        <v>1</v>
      </c>
      <c r="O239" s="2">
        <v>39.28</v>
      </c>
      <c r="P239" s="3">
        <v>2.1680000000000001</v>
      </c>
      <c r="Q239" s="4">
        <v>0.54236111111111096</v>
      </c>
      <c r="R239" s="4">
        <v>0.8041666666666667</v>
      </c>
      <c r="S239" s="2"/>
      <c r="T239" s="13"/>
      <c r="V239" s="10"/>
      <c r="W239" s="2" t="str">
        <f t="shared" si="56"/>
        <v>6:17:00</v>
      </c>
      <c r="Y239" s="12"/>
      <c r="AA239" s="10">
        <v>37.25</v>
      </c>
      <c r="AB239" s="10" t="s">
        <v>91</v>
      </c>
    </row>
    <row r="240" spans="1:28" x14ac:dyDescent="0.25">
      <c r="A240">
        <v>74</v>
      </c>
      <c r="B240" t="s">
        <v>43</v>
      </c>
      <c r="C240" t="s">
        <v>44</v>
      </c>
      <c r="D240" t="s">
        <v>13</v>
      </c>
      <c r="E240" t="s">
        <v>4</v>
      </c>
      <c r="F240" s="1">
        <v>44958</v>
      </c>
      <c r="G240" s="1">
        <v>45078</v>
      </c>
      <c r="H240">
        <f t="shared" si="46"/>
        <v>120</v>
      </c>
      <c r="I240" t="s">
        <v>36</v>
      </c>
      <c r="J240">
        <v>31.5</v>
      </c>
      <c r="K240">
        <v>227</v>
      </c>
      <c r="L240">
        <v>1</v>
      </c>
      <c r="M240">
        <v>1</v>
      </c>
      <c r="N240">
        <v>2</v>
      </c>
      <c r="O240" s="2">
        <v>27.84</v>
      </c>
      <c r="P240" s="3">
        <v>0.90349999999999997</v>
      </c>
      <c r="Q240" s="4">
        <v>0.51203703703703696</v>
      </c>
      <c r="S240" s="2">
        <f t="shared" ref="S240:S246" si="57">AVERAGE(T240:U240)</f>
        <v>37.299999999999997</v>
      </c>
      <c r="T240" s="13">
        <v>37.299999999999997</v>
      </c>
      <c r="V240" s="2"/>
      <c r="W240" s="2" t="e">
        <f t="shared" si="56"/>
        <v>#VALUE!</v>
      </c>
      <c r="Y240" s="12"/>
      <c r="AA240" s="10">
        <f t="shared" ref="AA240:AA246" si="58">AVERAGE(Y240,T240)</f>
        <v>37.299999999999997</v>
      </c>
      <c r="AB240" s="10" t="s">
        <v>90</v>
      </c>
    </row>
    <row r="241" spans="1:29" x14ac:dyDescent="0.25">
      <c r="A241">
        <v>74</v>
      </c>
      <c r="B241" t="s">
        <v>43</v>
      </c>
      <c r="C241" t="s">
        <v>44</v>
      </c>
      <c r="D241" t="s">
        <v>13</v>
      </c>
      <c r="E241" t="s">
        <v>4</v>
      </c>
      <c r="F241" s="1">
        <v>44958</v>
      </c>
      <c r="G241" s="1">
        <v>45078</v>
      </c>
      <c r="H241">
        <f t="shared" si="46"/>
        <v>120</v>
      </c>
      <c r="I241" t="s">
        <v>36</v>
      </c>
      <c r="J241">
        <v>31.5</v>
      </c>
      <c r="K241">
        <v>227</v>
      </c>
      <c r="L241">
        <v>1</v>
      </c>
      <c r="M241">
        <v>1</v>
      </c>
      <c r="N241">
        <v>1</v>
      </c>
      <c r="O241" s="2">
        <v>29.91</v>
      </c>
      <c r="P241" s="3">
        <v>0.9345</v>
      </c>
      <c r="Q241" s="4">
        <v>0.51203703703703696</v>
      </c>
      <c r="S241" s="2">
        <f t="shared" si="57"/>
        <v>37.299999999999997</v>
      </c>
      <c r="T241" s="13">
        <v>37.299999999999997</v>
      </c>
      <c r="V241" s="2"/>
      <c r="W241" s="2" t="e">
        <f t="shared" si="56"/>
        <v>#VALUE!</v>
      </c>
      <c r="Y241" s="12"/>
      <c r="AA241" s="10">
        <f t="shared" si="58"/>
        <v>37.299999999999997</v>
      </c>
      <c r="AB241" s="10" t="s">
        <v>90</v>
      </c>
    </row>
    <row r="242" spans="1:29" x14ac:dyDescent="0.25">
      <c r="A242">
        <v>75</v>
      </c>
      <c r="B242" t="s">
        <v>47</v>
      </c>
      <c r="C242" t="s">
        <v>48</v>
      </c>
      <c r="D242" t="s">
        <v>13</v>
      </c>
      <c r="E242" t="s">
        <v>4</v>
      </c>
      <c r="F242" s="1">
        <v>44959</v>
      </c>
      <c r="G242" s="1">
        <v>45078</v>
      </c>
      <c r="H242">
        <f t="shared" si="46"/>
        <v>119</v>
      </c>
      <c r="I242" t="s">
        <v>36</v>
      </c>
      <c r="J242">
        <v>31.5</v>
      </c>
      <c r="K242">
        <v>355</v>
      </c>
      <c r="L242">
        <v>1</v>
      </c>
      <c r="M242">
        <v>2</v>
      </c>
      <c r="N242">
        <v>1</v>
      </c>
      <c r="O242" s="2">
        <v>28</v>
      </c>
      <c r="P242" s="3">
        <v>0.72940000000000005</v>
      </c>
      <c r="Q242" s="4">
        <v>0.51203703703703696</v>
      </c>
      <c r="S242" s="2">
        <f t="shared" si="57"/>
        <v>37.299999999999997</v>
      </c>
      <c r="T242" s="13">
        <v>37.299999999999997</v>
      </c>
      <c r="V242" s="2"/>
      <c r="W242" s="2" t="e">
        <f t="shared" si="56"/>
        <v>#VALUE!</v>
      </c>
      <c r="Y242" s="12"/>
      <c r="AA242" s="10">
        <f t="shared" si="58"/>
        <v>37.299999999999997</v>
      </c>
      <c r="AB242" s="10" t="s">
        <v>90</v>
      </c>
    </row>
    <row r="243" spans="1:29" x14ac:dyDescent="0.25">
      <c r="A243">
        <v>75</v>
      </c>
      <c r="B243" t="s">
        <v>47</v>
      </c>
      <c r="C243" t="s">
        <v>48</v>
      </c>
      <c r="D243" t="s">
        <v>13</v>
      </c>
      <c r="E243" t="s">
        <v>4</v>
      </c>
      <c r="F243" s="1">
        <v>44959</v>
      </c>
      <c r="G243" s="1">
        <v>45078</v>
      </c>
      <c r="H243">
        <f t="shared" si="46"/>
        <v>119</v>
      </c>
      <c r="I243" t="s">
        <v>36</v>
      </c>
      <c r="J243">
        <v>31.5</v>
      </c>
      <c r="K243">
        <v>355</v>
      </c>
      <c r="L243">
        <v>1</v>
      </c>
      <c r="M243">
        <v>2</v>
      </c>
      <c r="N243">
        <v>4</v>
      </c>
      <c r="O243" s="2">
        <v>29.63</v>
      </c>
      <c r="P243" s="3">
        <v>0.90059999999999996</v>
      </c>
      <c r="Q243" s="4">
        <v>0.51203703703703696</v>
      </c>
      <c r="S243" s="2">
        <f t="shared" si="57"/>
        <v>37.299999999999997</v>
      </c>
      <c r="T243" s="13">
        <v>37.299999999999997</v>
      </c>
      <c r="V243" s="2"/>
      <c r="W243" s="2" t="e">
        <f t="shared" si="56"/>
        <v>#VALUE!</v>
      </c>
      <c r="Y243" s="12"/>
      <c r="AA243" s="10">
        <f t="shared" si="58"/>
        <v>37.299999999999997</v>
      </c>
      <c r="AB243" s="10" t="s">
        <v>90</v>
      </c>
    </row>
    <row r="244" spans="1:29" x14ac:dyDescent="0.25">
      <c r="A244">
        <v>75</v>
      </c>
      <c r="B244" t="s">
        <v>47</v>
      </c>
      <c r="C244" t="s">
        <v>48</v>
      </c>
      <c r="D244" t="s">
        <v>13</v>
      </c>
      <c r="E244" t="s">
        <v>4</v>
      </c>
      <c r="F244" s="1">
        <v>44959</v>
      </c>
      <c r="G244" s="1">
        <v>45078</v>
      </c>
      <c r="H244">
        <f t="shared" si="46"/>
        <v>119</v>
      </c>
      <c r="I244" t="s">
        <v>36</v>
      </c>
      <c r="J244">
        <v>31.5</v>
      </c>
      <c r="K244">
        <v>355</v>
      </c>
      <c r="L244">
        <v>1</v>
      </c>
      <c r="M244">
        <v>2</v>
      </c>
      <c r="N244">
        <v>3</v>
      </c>
      <c r="O244" s="2">
        <v>32.53</v>
      </c>
      <c r="P244" s="3">
        <v>1.3181</v>
      </c>
      <c r="Q244" s="4">
        <v>0.51203703703703696</v>
      </c>
      <c r="S244" s="2">
        <f t="shared" si="57"/>
        <v>37.299999999999997</v>
      </c>
      <c r="T244" s="13">
        <v>37.299999999999997</v>
      </c>
      <c r="V244" s="2"/>
      <c r="W244" s="2" t="e">
        <f t="shared" si="56"/>
        <v>#VALUE!</v>
      </c>
      <c r="Y244" s="12"/>
      <c r="AA244" s="10">
        <f t="shared" si="58"/>
        <v>37.299999999999997</v>
      </c>
      <c r="AB244" s="10" t="s">
        <v>90</v>
      </c>
    </row>
    <row r="245" spans="1:29" x14ac:dyDescent="0.25">
      <c r="A245">
        <v>75</v>
      </c>
      <c r="B245" t="s">
        <v>47</v>
      </c>
      <c r="C245" t="s">
        <v>48</v>
      </c>
      <c r="D245" t="s">
        <v>13</v>
      </c>
      <c r="E245" t="s">
        <v>4</v>
      </c>
      <c r="F245" s="1">
        <v>44959</v>
      </c>
      <c r="G245" s="1">
        <v>45078</v>
      </c>
      <c r="H245">
        <f t="shared" si="46"/>
        <v>119</v>
      </c>
      <c r="I245" t="s">
        <v>36</v>
      </c>
      <c r="J245">
        <v>31.5</v>
      </c>
      <c r="K245">
        <v>355</v>
      </c>
      <c r="L245">
        <v>1</v>
      </c>
      <c r="M245">
        <v>2</v>
      </c>
      <c r="N245">
        <v>2</v>
      </c>
      <c r="O245" s="2">
        <v>32.770000000000003</v>
      </c>
      <c r="P245" s="3">
        <v>1.3269</v>
      </c>
      <c r="Q245" s="4">
        <v>0.51203703703703696</v>
      </c>
      <c r="S245" s="2">
        <f t="shared" si="57"/>
        <v>37.299999999999997</v>
      </c>
      <c r="T245" s="13">
        <v>37.299999999999997</v>
      </c>
      <c r="V245" s="2"/>
      <c r="W245" s="2" t="e">
        <f t="shared" si="56"/>
        <v>#VALUE!</v>
      </c>
      <c r="Y245" s="12"/>
      <c r="AA245" s="10">
        <f t="shared" si="58"/>
        <v>37.299999999999997</v>
      </c>
      <c r="AB245" s="10" t="s">
        <v>90</v>
      </c>
    </row>
    <row r="246" spans="1:29" x14ac:dyDescent="0.25">
      <c r="A246">
        <v>75</v>
      </c>
      <c r="B246" t="s">
        <v>47</v>
      </c>
      <c r="C246" t="s">
        <v>48</v>
      </c>
      <c r="D246" t="s">
        <v>13</v>
      </c>
      <c r="E246" t="s">
        <v>4</v>
      </c>
      <c r="F246" s="1">
        <v>44959</v>
      </c>
      <c r="G246" s="1">
        <v>45078</v>
      </c>
      <c r="H246">
        <f t="shared" si="46"/>
        <v>119</v>
      </c>
      <c r="I246" t="s">
        <v>36</v>
      </c>
      <c r="J246">
        <v>31.5</v>
      </c>
      <c r="K246">
        <v>355</v>
      </c>
      <c r="L246">
        <v>1</v>
      </c>
      <c r="M246">
        <v>2</v>
      </c>
      <c r="N246">
        <v>5</v>
      </c>
      <c r="O246" s="2">
        <v>34.5</v>
      </c>
      <c r="P246" s="3">
        <v>1.6419999999999999</v>
      </c>
      <c r="Q246" s="4">
        <v>0.51203703703703696</v>
      </c>
      <c r="S246" s="2">
        <f t="shared" si="57"/>
        <v>37.299999999999997</v>
      </c>
      <c r="T246" s="13">
        <v>37.299999999999997</v>
      </c>
      <c r="V246" s="2"/>
      <c r="W246" s="2" t="e">
        <f t="shared" si="56"/>
        <v>#VALUE!</v>
      </c>
      <c r="Y246" s="12"/>
      <c r="AA246" s="10">
        <f t="shared" si="58"/>
        <v>37.299999999999997</v>
      </c>
      <c r="AB246" s="10" t="s">
        <v>90</v>
      </c>
    </row>
    <row r="247" spans="1:29" x14ac:dyDescent="0.25">
      <c r="A247">
        <v>74</v>
      </c>
      <c r="B247" t="s">
        <v>43</v>
      </c>
      <c r="C247" t="s">
        <v>44</v>
      </c>
      <c r="D247" t="s">
        <v>13</v>
      </c>
      <c r="E247" t="s">
        <v>4</v>
      </c>
      <c r="F247" s="1">
        <v>44958</v>
      </c>
      <c r="G247" s="1">
        <v>45078</v>
      </c>
      <c r="H247">
        <f t="shared" si="46"/>
        <v>120</v>
      </c>
      <c r="I247" t="s">
        <v>36</v>
      </c>
      <c r="J247">
        <v>31.5</v>
      </c>
      <c r="K247">
        <v>227</v>
      </c>
      <c r="L247">
        <v>1</v>
      </c>
      <c r="M247">
        <v>1</v>
      </c>
      <c r="N247">
        <v>4</v>
      </c>
      <c r="O247"/>
      <c r="P247"/>
      <c r="Q247" s="4">
        <v>0.51203703703703696</v>
      </c>
      <c r="R247"/>
      <c r="T247" s="13"/>
      <c r="V247" s="2"/>
      <c r="W247" s="2" t="e">
        <f t="shared" si="56"/>
        <v>#VALUE!</v>
      </c>
      <c r="Y247" s="12"/>
      <c r="AB247" s="10" t="s">
        <v>90</v>
      </c>
    </row>
    <row r="248" spans="1:29" x14ac:dyDescent="0.25">
      <c r="A248">
        <v>102</v>
      </c>
      <c r="B248" t="s">
        <v>47</v>
      </c>
      <c r="C248" t="s">
        <v>48</v>
      </c>
      <c r="D248" t="s">
        <v>13</v>
      </c>
      <c r="E248" t="s">
        <v>4</v>
      </c>
      <c r="F248" s="1">
        <v>44984</v>
      </c>
      <c r="G248" s="1">
        <v>45113</v>
      </c>
      <c r="H248">
        <f t="shared" si="46"/>
        <v>129</v>
      </c>
      <c r="I248" t="s">
        <v>37</v>
      </c>
      <c r="J248">
        <v>28.5</v>
      </c>
      <c r="K248">
        <v>240</v>
      </c>
      <c r="L248">
        <v>2</v>
      </c>
      <c r="M248">
        <v>5</v>
      </c>
      <c r="N248">
        <v>2</v>
      </c>
      <c r="Q248" s="4">
        <v>0.48844907407407401</v>
      </c>
      <c r="S248" s="4"/>
      <c r="T248" s="13"/>
      <c r="V248" s="2"/>
      <c r="W248" s="4"/>
      <c r="X248" s="10">
        <v>0.111</v>
      </c>
      <c r="Y248" s="12"/>
      <c r="AB248" s="10" t="s">
        <v>90</v>
      </c>
    </row>
    <row r="249" spans="1:29" x14ac:dyDescent="0.25">
      <c r="A249">
        <v>102</v>
      </c>
      <c r="B249" t="s">
        <v>47</v>
      </c>
      <c r="C249" t="s">
        <v>48</v>
      </c>
      <c r="D249" t="s">
        <v>13</v>
      </c>
      <c r="E249" t="s">
        <v>4</v>
      </c>
      <c r="F249" s="1">
        <v>44984</v>
      </c>
      <c r="G249" s="1">
        <v>45113</v>
      </c>
      <c r="H249">
        <f t="shared" si="46"/>
        <v>129</v>
      </c>
      <c r="I249" t="s">
        <v>36</v>
      </c>
      <c r="J249">
        <v>31.5</v>
      </c>
      <c r="K249">
        <v>223</v>
      </c>
      <c r="L249">
        <v>1</v>
      </c>
      <c r="M249">
        <v>5</v>
      </c>
      <c r="N249">
        <v>1</v>
      </c>
      <c r="Q249" s="4">
        <v>0.48844907407407401</v>
      </c>
      <c r="S249" s="4"/>
      <c r="T249" s="13"/>
      <c r="V249" s="2"/>
      <c r="W249" s="4"/>
      <c r="X249" s="10">
        <v>0.111</v>
      </c>
      <c r="Y249" s="12"/>
      <c r="AB249" s="10" t="s">
        <v>90</v>
      </c>
    </row>
    <row r="250" spans="1:29" ht="15" customHeight="1" x14ac:dyDescent="0.25">
      <c r="A250">
        <v>69</v>
      </c>
      <c r="B250" t="s">
        <v>45</v>
      </c>
      <c r="C250" t="s">
        <v>46</v>
      </c>
      <c r="D250" t="s">
        <v>13</v>
      </c>
      <c r="E250" t="s">
        <v>5</v>
      </c>
      <c r="F250" s="1">
        <v>44956</v>
      </c>
      <c r="G250" s="1">
        <v>45083</v>
      </c>
      <c r="H250">
        <f t="shared" si="46"/>
        <v>127</v>
      </c>
      <c r="I250" t="s">
        <v>36</v>
      </c>
      <c r="J250">
        <v>28.5</v>
      </c>
      <c r="K250">
        <v>237</v>
      </c>
      <c r="L250">
        <v>2</v>
      </c>
      <c r="M250">
        <v>2</v>
      </c>
      <c r="N250">
        <v>3</v>
      </c>
      <c r="O250" s="2">
        <v>30.32</v>
      </c>
      <c r="P250" s="3">
        <v>0.96330000000000005</v>
      </c>
      <c r="Q250" s="4">
        <v>0.44003472222222201</v>
      </c>
      <c r="R250" s="4">
        <v>0.7006944444444444</v>
      </c>
      <c r="S250" s="2">
        <f t="shared" ref="S250:S259" si="59">AVERAGE(T250:U250)</f>
        <v>36.670999999999999</v>
      </c>
      <c r="T250" s="13">
        <v>36.6</v>
      </c>
      <c r="U250" s="10">
        <v>36.741999999999997</v>
      </c>
      <c r="V250" s="2">
        <f t="shared" ref="V250:V259" si="60">U250-T250</f>
        <v>0.14199999999999591</v>
      </c>
      <c r="W250" s="2" t="str">
        <f t="shared" ref="W250:W269" si="61">TEXT(R250-Q250,"h:mm:ss")</f>
        <v>6:15:21</v>
      </c>
      <c r="X250" s="10">
        <v>7.6850000000000002E-2</v>
      </c>
      <c r="Y250" s="12">
        <f t="shared" ref="Y250:Y259" si="62">U250-X250</f>
        <v>36.665149999999997</v>
      </c>
      <c r="Z250" s="10">
        <f t="shared" ref="Z250:Z259" si="63">Y250-T250</f>
        <v>6.51499999999956E-2</v>
      </c>
      <c r="AA250" s="10">
        <f t="shared" ref="AA250:AA259" si="64">AVERAGE(Y250,T250)</f>
        <v>36.632575000000003</v>
      </c>
      <c r="AB250" s="10" t="s">
        <v>90</v>
      </c>
    </row>
    <row r="251" spans="1:29" ht="15" customHeight="1" x14ac:dyDescent="0.25">
      <c r="A251">
        <v>69</v>
      </c>
      <c r="B251" t="s">
        <v>45</v>
      </c>
      <c r="C251" t="s">
        <v>46</v>
      </c>
      <c r="D251" t="s">
        <v>13</v>
      </c>
      <c r="E251" t="s">
        <v>5</v>
      </c>
      <c r="F251" s="1">
        <v>44956</v>
      </c>
      <c r="G251" s="1">
        <v>45083</v>
      </c>
      <c r="H251">
        <f t="shared" si="46"/>
        <v>127</v>
      </c>
      <c r="I251" t="s">
        <v>36</v>
      </c>
      <c r="J251">
        <v>28.5</v>
      </c>
      <c r="K251">
        <v>237</v>
      </c>
      <c r="L251">
        <v>2</v>
      </c>
      <c r="M251">
        <v>2</v>
      </c>
      <c r="N251">
        <v>1</v>
      </c>
      <c r="O251" s="2">
        <v>29.86</v>
      </c>
      <c r="P251" s="3">
        <v>0.97789999999999999</v>
      </c>
      <c r="Q251" s="4">
        <v>0.44003472222222201</v>
      </c>
      <c r="R251" s="4">
        <v>0.7006944444444444</v>
      </c>
      <c r="S251" s="2">
        <f t="shared" si="59"/>
        <v>36.670999999999999</v>
      </c>
      <c r="T251" s="13">
        <v>36.6</v>
      </c>
      <c r="U251" s="10">
        <v>36.741999999999997</v>
      </c>
      <c r="V251" s="2">
        <f t="shared" si="60"/>
        <v>0.14199999999999591</v>
      </c>
      <c r="W251" s="2" t="str">
        <f t="shared" si="61"/>
        <v>6:15:21</v>
      </c>
      <c r="X251" s="10">
        <v>7.6850000000000002E-2</v>
      </c>
      <c r="Y251" s="12">
        <f t="shared" si="62"/>
        <v>36.665149999999997</v>
      </c>
      <c r="Z251" s="10">
        <f t="shared" si="63"/>
        <v>6.51499999999956E-2</v>
      </c>
      <c r="AA251" s="10">
        <f t="shared" si="64"/>
        <v>36.632575000000003</v>
      </c>
      <c r="AB251" s="10" t="s">
        <v>90</v>
      </c>
    </row>
    <row r="252" spans="1:29" ht="15" customHeight="1" x14ac:dyDescent="0.25">
      <c r="A252">
        <v>69</v>
      </c>
      <c r="B252" t="s">
        <v>45</v>
      </c>
      <c r="C252" t="s">
        <v>46</v>
      </c>
      <c r="D252" t="s">
        <v>13</v>
      </c>
      <c r="E252" t="s">
        <v>5</v>
      </c>
      <c r="F252" s="1">
        <v>44956</v>
      </c>
      <c r="G252" s="1">
        <v>45083</v>
      </c>
      <c r="H252">
        <f t="shared" si="46"/>
        <v>127</v>
      </c>
      <c r="I252" t="s">
        <v>36</v>
      </c>
      <c r="J252">
        <v>28.5</v>
      </c>
      <c r="K252">
        <v>237</v>
      </c>
      <c r="L252">
        <v>2</v>
      </c>
      <c r="M252">
        <v>2</v>
      </c>
      <c r="N252">
        <v>4</v>
      </c>
      <c r="O252" s="2">
        <v>31.08</v>
      </c>
      <c r="P252" s="3">
        <v>1.0960000000000001</v>
      </c>
      <c r="Q252" s="4">
        <v>0.44003472222222201</v>
      </c>
      <c r="R252" s="4">
        <v>0.7006944444444444</v>
      </c>
      <c r="S252" s="2">
        <f t="shared" si="59"/>
        <v>36.670999999999999</v>
      </c>
      <c r="T252" s="13">
        <v>36.6</v>
      </c>
      <c r="U252" s="10">
        <v>36.741999999999997</v>
      </c>
      <c r="V252" s="2">
        <f t="shared" si="60"/>
        <v>0.14199999999999591</v>
      </c>
      <c r="W252" s="2" t="str">
        <f t="shared" si="61"/>
        <v>6:15:21</v>
      </c>
      <c r="X252" s="10">
        <v>7.6850000000000002E-2</v>
      </c>
      <c r="Y252" s="12">
        <f t="shared" si="62"/>
        <v>36.665149999999997</v>
      </c>
      <c r="Z252" s="10">
        <f t="shared" si="63"/>
        <v>6.51499999999956E-2</v>
      </c>
      <c r="AA252" s="10">
        <f t="shared" si="64"/>
        <v>36.632575000000003</v>
      </c>
      <c r="AB252" s="10" t="s">
        <v>90</v>
      </c>
    </row>
    <row r="253" spans="1:29" ht="15" customHeight="1" x14ac:dyDescent="0.25">
      <c r="A253">
        <v>69</v>
      </c>
      <c r="B253" t="s">
        <v>45</v>
      </c>
      <c r="C253" t="s">
        <v>46</v>
      </c>
      <c r="D253" t="s">
        <v>13</v>
      </c>
      <c r="E253" t="s">
        <v>5</v>
      </c>
      <c r="F253" s="1">
        <v>44956</v>
      </c>
      <c r="G253" s="1">
        <v>45083</v>
      </c>
      <c r="H253">
        <f t="shared" si="46"/>
        <v>127</v>
      </c>
      <c r="I253" t="s">
        <v>36</v>
      </c>
      <c r="J253">
        <v>28.5</v>
      </c>
      <c r="K253">
        <v>237</v>
      </c>
      <c r="L253">
        <v>2</v>
      </c>
      <c r="M253">
        <v>2</v>
      </c>
      <c r="N253">
        <v>5</v>
      </c>
      <c r="O253" s="2">
        <v>34.82</v>
      </c>
      <c r="P253" s="3">
        <v>1.4717</v>
      </c>
      <c r="Q253" s="4">
        <v>0.44003472222222201</v>
      </c>
      <c r="R253" s="4">
        <v>0.70277777777777783</v>
      </c>
      <c r="S253" s="2">
        <f t="shared" si="59"/>
        <v>36.734499999999997</v>
      </c>
      <c r="T253" s="13">
        <v>36.700000000000003</v>
      </c>
      <c r="U253" s="10">
        <v>36.768999999999998</v>
      </c>
      <c r="V253" s="2">
        <f t="shared" si="60"/>
        <v>6.8999999999995509E-2</v>
      </c>
      <c r="W253" s="2" t="str">
        <f t="shared" si="61"/>
        <v>6:18:21</v>
      </c>
      <c r="X253" s="10">
        <v>7.6850000000000002E-2</v>
      </c>
      <c r="Y253" s="12">
        <f t="shared" si="62"/>
        <v>36.692149999999998</v>
      </c>
      <c r="Z253" s="10">
        <f t="shared" si="63"/>
        <v>-7.8500000000047976E-3</v>
      </c>
      <c r="AA253" s="10">
        <f t="shared" si="64"/>
        <v>36.696075</v>
      </c>
      <c r="AB253" s="10" t="s">
        <v>90</v>
      </c>
    </row>
    <row r="254" spans="1:29" ht="15" customHeight="1" x14ac:dyDescent="0.25">
      <c r="A254">
        <v>69</v>
      </c>
      <c r="B254" t="s">
        <v>45</v>
      </c>
      <c r="C254" t="s">
        <v>46</v>
      </c>
      <c r="D254" t="s">
        <v>13</v>
      </c>
      <c r="E254" t="s">
        <v>5</v>
      </c>
      <c r="F254" s="1">
        <v>44956</v>
      </c>
      <c r="G254" s="1">
        <v>45083</v>
      </c>
      <c r="H254">
        <f t="shared" si="46"/>
        <v>127</v>
      </c>
      <c r="I254" t="s">
        <v>37</v>
      </c>
      <c r="J254">
        <v>30</v>
      </c>
      <c r="K254">
        <v>129</v>
      </c>
      <c r="L254">
        <v>2</v>
      </c>
      <c r="M254">
        <v>2</v>
      </c>
      <c r="N254">
        <v>5</v>
      </c>
      <c r="O254" s="2">
        <v>27.35</v>
      </c>
      <c r="P254" s="3">
        <v>0.73370000000000002</v>
      </c>
      <c r="Q254" s="4">
        <v>0.44003472222222201</v>
      </c>
      <c r="R254" s="4">
        <v>0.7055555555555556</v>
      </c>
      <c r="S254" s="2">
        <f t="shared" si="59"/>
        <v>36.762</v>
      </c>
      <c r="T254" s="13">
        <v>36.700000000000003</v>
      </c>
      <c r="U254" s="10">
        <v>36.823999999999998</v>
      </c>
      <c r="V254" s="2">
        <f t="shared" si="60"/>
        <v>0.12399999999999523</v>
      </c>
      <c r="W254" s="2" t="str">
        <f t="shared" si="61"/>
        <v>6:22:21</v>
      </c>
      <c r="X254" s="10">
        <v>7.6850000000000002E-2</v>
      </c>
      <c r="Y254" s="12">
        <f t="shared" si="62"/>
        <v>36.747149999999998</v>
      </c>
      <c r="Z254" s="10">
        <f t="shared" si="63"/>
        <v>4.7149999999994918E-2</v>
      </c>
      <c r="AA254" s="10">
        <f t="shared" si="64"/>
        <v>36.723574999999997</v>
      </c>
      <c r="AB254" s="10" t="s">
        <v>90</v>
      </c>
    </row>
    <row r="255" spans="1:29" ht="15" customHeight="1" x14ac:dyDescent="0.25">
      <c r="A255">
        <v>60</v>
      </c>
      <c r="B255" t="s">
        <v>34</v>
      </c>
      <c r="C255" t="s">
        <v>35</v>
      </c>
      <c r="D255" t="s">
        <v>13</v>
      </c>
      <c r="E255" t="s">
        <v>5</v>
      </c>
      <c r="F255" s="1">
        <v>44943</v>
      </c>
      <c r="G255" s="1">
        <v>45086</v>
      </c>
      <c r="H255">
        <f t="shared" si="46"/>
        <v>143</v>
      </c>
      <c r="I255" t="s">
        <v>36</v>
      </c>
      <c r="J255">
        <v>28.5</v>
      </c>
      <c r="K255">
        <v>142</v>
      </c>
      <c r="L255">
        <v>1</v>
      </c>
      <c r="M255">
        <v>1</v>
      </c>
      <c r="N255">
        <v>4</v>
      </c>
      <c r="O255" s="2">
        <v>27.36</v>
      </c>
      <c r="P255" s="3">
        <v>0.749</v>
      </c>
      <c r="Q255" s="4">
        <v>0.4817939814814815</v>
      </c>
      <c r="R255" s="4">
        <v>0.72222222222222221</v>
      </c>
      <c r="S255" s="2">
        <f t="shared" si="59"/>
        <v>36.748000000000005</v>
      </c>
      <c r="T255" s="13">
        <v>36.700000000000003</v>
      </c>
      <c r="U255" s="10">
        <v>36.795999999999999</v>
      </c>
      <c r="V255" s="2">
        <f t="shared" si="60"/>
        <v>9.5999999999996533E-2</v>
      </c>
      <c r="W255" s="2" t="str">
        <f t="shared" si="61"/>
        <v>5:46:13</v>
      </c>
      <c r="X255" s="10">
        <v>2.9250000000000002E-2</v>
      </c>
      <c r="Y255" s="12">
        <f t="shared" si="62"/>
        <v>36.766750000000002</v>
      </c>
      <c r="Z255" s="10">
        <f t="shared" si="63"/>
        <v>6.6749999999998977E-2</v>
      </c>
      <c r="AA255" s="10">
        <f t="shared" si="64"/>
        <v>36.733375000000002</v>
      </c>
      <c r="AB255" s="10" t="s">
        <v>90</v>
      </c>
      <c r="AC255" s="3"/>
    </row>
    <row r="256" spans="1:29" ht="15" customHeight="1" x14ac:dyDescent="0.25">
      <c r="A256">
        <v>60</v>
      </c>
      <c r="B256" t="s">
        <v>34</v>
      </c>
      <c r="C256" t="s">
        <v>35</v>
      </c>
      <c r="D256" t="s">
        <v>13</v>
      </c>
      <c r="E256" t="s">
        <v>5</v>
      </c>
      <c r="F256" s="1">
        <v>44943</v>
      </c>
      <c r="G256" s="1">
        <v>45086</v>
      </c>
      <c r="H256">
        <f t="shared" si="46"/>
        <v>143</v>
      </c>
      <c r="I256" t="s">
        <v>36</v>
      </c>
      <c r="J256">
        <v>28.5</v>
      </c>
      <c r="K256">
        <v>142</v>
      </c>
      <c r="L256">
        <v>1</v>
      </c>
      <c r="M256">
        <v>1</v>
      </c>
      <c r="N256">
        <v>1</v>
      </c>
      <c r="O256" s="2">
        <v>33.380000000000003</v>
      </c>
      <c r="P256" s="3">
        <v>1.3945000000000001</v>
      </c>
      <c r="Q256" s="4">
        <v>0.4817939814814815</v>
      </c>
      <c r="R256" s="4">
        <v>0.72222222222222221</v>
      </c>
      <c r="S256" s="2">
        <f t="shared" si="59"/>
        <v>36.748000000000005</v>
      </c>
      <c r="T256" s="13">
        <v>36.700000000000003</v>
      </c>
      <c r="U256" s="10">
        <v>36.795999999999999</v>
      </c>
      <c r="V256" s="2">
        <f t="shared" si="60"/>
        <v>9.5999999999996533E-2</v>
      </c>
      <c r="W256" s="2" t="str">
        <f t="shared" si="61"/>
        <v>5:46:13</v>
      </c>
      <c r="X256" s="10">
        <v>2.9250000000000002E-2</v>
      </c>
      <c r="Y256" s="12">
        <f t="shared" si="62"/>
        <v>36.766750000000002</v>
      </c>
      <c r="Z256" s="10">
        <f t="shared" si="63"/>
        <v>6.6749999999998977E-2</v>
      </c>
      <c r="AA256" s="10">
        <f t="shared" si="64"/>
        <v>36.733375000000002</v>
      </c>
      <c r="AB256" s="10" t="s">
        <v>90</v>
      </c>
      <c r="AC256" s="3"/>
    </row>
    <row r="257" spans="1:29" ht="15" customHeight="1" x14ac:dyDescent="0.25">
      <c r="A257">
        <v>60</v>
      </c>
      <c r="B257" t="s">
        <v>34</v>
      </c>
      <c r="C257" t="s">
        <v>35</v>
      </c>
      <c r="D257" t="s">
        <v>13</v>
      </c>
      <c r="E257" t="s">
        <v>5</v>
      </c>
      <c r="F257" s="1">
        <v>44943</v>
      </c>
      <c r="G257" s="1">
        <v>45086</v>
      </c>
      <c r="H257">
        <f t="shared" si="46"/>
        <v>143</v>
      </c>
      <c r="I257" t="s">
        <v>36</v>
      </c>
      <c r="J257">
        <v>28.5</v>
      </c>
      <c r="K257">
        <v>142</v>
      </c>
      <c r="L257">
        <v>1</v>
      </c>
      <c r="M257">
        <v>1</v>
      </c>
      <c r="N257">
        <v>5</v>
      </c>
      <c r="O257" s="2">
        <v>28.84</v>
      </c>
      <c r="P257" s="3">
        <v>0.99</v>
      </c>
      <c r="Q257" s="4">
        <v>0.481793981481482</v>
      </c>
      <c r="R257" s="4">
        <v>0.72569444444444453</v>
      </c>
      <c r="S257" s="2">
        <f t="shared" si="59"/>
        <v>36.814</v>
      </c>
      <c r="T257" s="13">
        <v>36.75</v>
      </c>
      <c r="U257" s="10">
        <v>36.878</v>
      </c>
      <c r="V257" s="2">
        <f t="shared" si="60"/>
        <v>0.12800000000000011</v>
      </c>
      <c r="W257" s="2" t="str">
        <f t="shared" si="61"/>
        <v>5:51:13</v>
      </c>
      <c r="X257" s="10">
        <v>2.9250000000000002E-2</v>
      </c>
      <c r="Y257" s="12">
        <f t="shared" si="62"/>
        <v>36.848750000000003</v>
      </c>
      <c r="Z257" s="10">
        <f t="shared" si="63"/>
        <v>9.8750000000002558E-2</v>
      </c>
      <c r="AA257" s="10">
        <f t="shared" si="64"/>
        <v>36.799374999999998</v>
      </c>
      <c r="AB257" s="10" t="s">
        <v>90</v>
      </c>
      <c r="AC257" s="3"/>
    </row>
    <row r="258" spans="1:29" ht="15" customHeight="1" x14ac:dyDescent="0.25">
      <c r="A258">
        <v>60</v>
      </c>
      <c r="B258" t="s">
        <v>34</v>
      </c>
      <c r="C258" t="s">
        <v>35</v>
      </c>
      <c r="D258" t="s">
        <v>13</v>
      </c>
      <c r="E258" t="s">
        <v>5</v>
      </c>
      <c r="F258" s="1">
        <v>44943</v>
      </c>
      <c r="G258" s="1">
        <v>45086</v>
      </c>
      <c r="H258">
        <f t="shared" ref="H258:H321" si="65">G258-F258</f>
        <v>143</v>
      </c>
      <c r="I258" t="s">
        <v>36</v>
      </c>
      <c r="J258">
        <v>28.5</v>
      </c>
      <c r="K258">
        <v>142</v>
      </c>
      <c r="L258">
        <v>1</v>
      </c>
      <c r="M258">
        <v>1</v>
      </c>
      <c r="N258">
        <v>3</v>
      </c>
      <c r="O258" s="2">
        <v>31.77</v>
      </c>
      <c r="P258" s="3">
        <v>1.2907</v>
      </c>
      <c r="Q258" s="4">
        <v>0.481793981481482</v>
      </c>
      <c r="R258" s="4">
        <v>0.72569444444444453</v>
      </c>
      <c r="S258" s="2">
        <f t="shared" si="59"/>
        <v>36.814</v>
      </c>
      <c r="T258" s="13">
        <v>36.75</v>
      </c>
      <c r="U258" s="10">
        <v>36.878</v>
      </c>
      <c r="V258" s="2">
        <f t="shared" si="60"/>
        <v>0.12800000000000011</v>
      </c>
      <c r="W258" s="2" t="str">
        <f t="shared" si="61"/>
        <v>5:51:13</v>
      </c>
      <c r="X258" s="10">
        <v>2.9250000000000002E-2</v>
      </c>
      <c r="Y258" s="12">
        <f t="shared" si="62"/>
        <v>36.848750000000003</v>
      </c>
      <c r="Z258" s="10">
        <f t="shared" si="63"/>
        <v>9.8750000000002558E-2</v>
      </c>
      <c r="AA258" s="10">
        <f t="shared" si="64"/>
        <v>36.799374999999998</v>
      </c>
      <c r="AB258" s="10" t="s">
        <v>90</v>
      </c>
      <c r="AC258" s="3"/>
    </row>
    <row r="259" spans="1:29" ht="15" customHeight="1" x14ac:dyDescent="0.25">
      <c r="A259">
        <v>60</v>
      </c>
      <c r="B259" t="s">
        <v>34</v>
      </c>
      <c r="C259" t="s">
        <v>35</v>
      </c>
      <c r="D259" t="s">
        <v>13</v>
      </c>
      <c r="E259" t="s">
        <v>5</v>
      </c>
      <c r="F259" s="1">
        <v>44943</v>
      </c>
      <c r="G259" s="1">
        <v>45086</v>
      </c>
      <c r="H259">
        <f t="shared" si="65"/>
        <v>143</v>
      </c>
      <c r="I259" t="s">
        <v>36</v>
      </c>
      <c r="J259">
        <v>28.5</v>
      </c>
      <c r="K259">
        <v>142</v>
      </c>
      <c r="L259">
        <v>1</v>
      </c>
      <c r="M259">
        <v>1</v>
      </c>
      <c r="N259">
        <v>2</v>
      </c>
      <c r="O259" s="2">
        <v>33.57</v>
      </c>
      <c r="P259" s="3">
        <v>1.4182999999999999</v>
      </c>
      <c r="Q259" s="4">
        <v>0.481793981481482</v>
      </c>
      <c r="R259" s="4">
        <v>0.72569444444444453</v>
      </c>
      <c r="S259" s="2">
        <f t="shared" si="59"/>
        <v>36.814</v>
      </c>
      <c r="T259" s="13">
        <v>36.75</v>
      </c>
      <c r="U259" s="10">
        <v>36.878</v>
      </c>
      <c r="V259" s="2">
        <f t="shared" si="60"/>
        <v>0.12800000000000011</v>
      </c>
      <c r="W259" s="2" t="str">
        <f t="shared" si="61"/>
        <v>5:51:13</v>
      </c>
      <c r="X259" s="10">
        <v>2.9250000000000002E-2</v>
      </c>
      <c r="Y259" s="12">
        <f t="shared" si="62"/>
        <v>36.848750000000003</v>
      </c>
      <c r="Z259" s="10">
        <f t="shared" si="63"/>
        <v>9.8750000000002558E-2</v>
      </c>
      <c r="AA259" s="10">
        <f t="shared" si="64"/>
        <v>36.799374999999998</v>
      </c>
      <c r="AB259" s="10" t="s">
        <v>90</v>
      </c>
      <c r="AC259" s="3"/>
    </row>
    <row r="260" spans="1:29" ht="15" customHeight="1" x14ac:dyDescent="0.25">
      <c r="A260">
        <v>69</v>
      </c>
      <c r="B260" t="s">
        <v>45</v>
      </c>
      <c r="C260" t="s">
        <v>46</v>
      </c>
      <c r="D260" t="s">
        <v>13</v>
      </c>
      <c r="E260" t="s">
        <v>5</v>
      </c>
      <c r="F260" s="1">
        <v>44956</v>
      </c>
      <c r="G260" s="1">
        <v>45088</v>
      </c>
      <c r="H260">
        <f t="shared" si="65"/>
        <v>132</v>
      </c>
      <c r="J260">
        <v>28.5</v>
      </c>
      <c r="K260">
        <v>237</v>
      </c>
      <c r="L260">
        <v>2</v>
      </c>
      <c r="O260" s="2">
        <v>29.74</v>
      </c>
      <c r="P260" s="3">
        <v>0.91610000000000003</v>
      </c>
      <c r="Q260" s="4">
        <v>0.54236111111111118</v>
      </c>
      <c r="R260" s="4">
        <v>0.78611111111111109</v>
      </c>
      <c r="S260" s="2"/>
      <c r="T260" s="13"/>
      <c r="V260" s="10"/>
      <c r="W260" s="2" t="str">
        <f t="shared" si="61"/>
        <v>5:51:00</v>
      </c>
      <c r="Y260" s="12"/>
      <c r="AA260" s="10">
        <v>36.799999999999997</v>
      </c>
      <c r="AB260" s="10" t="s">
        <v>91</v>
      </c>
    </row>
    <row r="261" spans="1:29" ht="15" customHeight="1" x14ac:dyDescent="0.25">
      <c r="A261">
        <v>69</v>
      </c>
      <c r="B261" t="s">
        <v>45</v>
      </c>
      <c r="C261" t="s">
        <v>46</v>
      </c>
      <c r="D261" t="s">
        <v>13</v>
      </c>
      <c r="E261" t="s">
        <v>5</v>
      </c>
      <c r="F261" s="1">
        <v>44956</v>
      </c>
      <c r="G261" s="1">
        <v>45088</v>
      </c>
      <c r="H261">
        <f t="shared" si="65"/>
        <v>132</v>
      </c>
      <c r="J261">
        <v>28.5</v>
      </c>
      <c r="K261">
        <v>237</v>
      </c>
      <c r="L261">
        <v>2</v>
      </c>
      <c r="O261" s="2">
        <v>34.58</v>
      </c>
      <c r="P261" s="3">
        <v>1.5043</v>
      </c>
      <c r="Q261" s="4">
        <v>0.54236111111111096</v>
      </c>
      <c r="R261" s="4">
        <v>0.79027777777777775</v>
      </c>
      <c r="S261" s="2"/>
      <c r="T261" s="13"/>
      <c r="V261" s="10"/>
      <c r="W261" s="2" t="str">
        <f t="shared" si="61"/>
        <v>5:57:00</v>
      </c>
      <c r="Y261" s="12"/>
      <c r="AA261" s="10">
        <v>36.799999999999997</v>
      </c>
      <c r="AB261" s="10" t="s">
        <v>91</v>
      </c>
    </row>
    <row r="262" spans="1:29" ht="15" customHeight="1" x14ac:dyDescent="0.25">
      <c r="A262">
        <v>69</v>
      </c>
      <c r="B262" t="s">
        <v>45</v>
      </c>
      <c r="C262" t="s">
        <v>46</v>
      </c>
      <c r="D262" t="s">
        <v>13</v>
      </c>
      <c r="E262" t="s">
        <v>5</v>
      </c>
      <c r="F262" s="1">
        <v>44956</v>
      </c>
      <c r="G262" s="1">
        <v>45088</v>
      </c>
      <c r="H262">
        <f t="shared" si="65"/>
        <v>132</v>
      </c>
      <c r="J262">
        <v>31.5</v>
      </c>
      <c r="K262">
        <v>259</v>
      </c>
      <c r="L262">
        <v>1</v>
      </c>
      <c r="O262" s="2">
        <v>29.41</v>
      </c>
      <c r="P262" s="3">
        <v>0.95209999999999995</v>
      </c>
      <c r="Q262" s="4">
        <v>0.54236111111111118</v>
      </c>
      <c r="R262" s="4">
        <v>0.79027777777777775</v>
      </c>
      <c r="S262" s="2"/>
      <c r="T262" s="13"/>
      <c r="V262" s="10"/>
      <c r="W262" s="2" t="str">
        <f t="shared" si="61"/>
        <v>5:57:00</v>
      </c>
      <c r="Y262" s="12"/>
      <c r="AA262" s="10">
        <v>36.799999999999997</v>
      </c>
      <c r="AB262" s="10" t="s">
        <v>91</v>
      </c>
    </row>
    <row r="263" spans="1:29" ht="15" customHeight="1" x14ac:dyDescent="0.25">
      <c r="A263">
        <v>89</v>
      </c>
      <c r="B263" t="s">
        <v>34</v>
      </c>
      <c r="C263" t="s">
        <v>35</v>
      </c>
      <c r="D263" t="s">
        <v>13</v>
      </c>
      <c r="E263" t="s">
        <v>5</v>
      </c>
      <c r="F263" s="1">
        <v>44967</v>
      </c>
      <c r="G263" s="1">
        <v>45093</v>
      </c>
      <c r="H263">
        <f t="shared" si="65"/>
        <v>126</v>
      </c>
      <c r="J263">
        <v>28.5</v>
      </c>
      <c r="K263">
        <v>246</v>
      </c>
      <c r="L263">
        <v>1</v>
      </c>
      <c r="O263" s="2">
        <v>35.51</v>
      </c>
      <c r="P263" s="3">
        <v>1.4967999999999999</v>
      </c>
      <c r="Q263" s="4">
        <v>0.5</v>
      </c>
      <c r="R263" s="4">
        <v>0.74652777777777779</v>
      </c>
      <c r="S263" s="2"/>
      <c r="T263" s="13"/>
      <c r="V263" s="10"/>
      <c r="W263" s="2" t="str">
        <f t="shared" si="61"/>
        <v>5:55:00</v>
      </c>
      <c r="Y263" s="12"/>
      <c r="AA263" s="10">
        <v>36.799999999999997</v>
      </c>
      <c r="AB263" s="10" t="s">
        <v>91</v>
      </c>
    </row>
    <row r="264" spans="1:29" ht="15" customHeight="1" x14ac:dyDescent="0.25">
      <c r="A264">
        <v>69</v>
      </c>
      <c r="B264" t="s">
        <v>45</v>
      </c>
      <c r="C264" t="s">
        <v>46</v>
      </c>
      <c r="D264" t="s">
        <v>13</v>
      </c>
      <c r="E264" t="s">
        <v>5</v>
      </c>
      <c r="F264" s="1">
        <v>44956</v>
      </c>
      <c r="G264" s="1">
        <v>45083</v>
      </c>
      <c r="H264">
        <f t="shared" si="65"/>
        <v>127</v>
      </c>
      <c r="I264" t="s">
        <v>37</v>
      </c>
      <c r="J264">
        <v>30</v>
      </c>
      <c r="K264">
        <v>129</v>
      </c>
      <c r="L264">
        <v>2</v>
      </c>
      <c r="M264">
        <v>2</v>
      </c>
      <c r="N264">
        <v>1</v>
      </c>
      <c r="O264" s="2">
        <v>32.729999999999997</v>
      </c>
      <c r="P264" s="3">
        <v>1.3666</v>
      </c>
      <c r="Q264" s="4">
        <v>0.44003472222222201</v>
      </c>
      <c r="R264" s="4">
        <v>0.70694444444444438</v>
      </c>
      <c r="S264" s="2">
        <f t="shared" ref="S264:S269" si="66">AVERAGE(T264:U264)</f>
        <v>36.838999999999999</v>
      </c>
      <c r="T264" s="13">
        <v>36.799999999999997</v>
      </c>
      <c r="U264" s="10">
        <v>36.878</v>
      </c>
      <c r="V264" s="2">
        <f>U264-T264</f>
        <v>7.8000000000002956E-2</v>
      </c>
      <c r="W264" s="2" t="str">
        <f t="shared" si="61"/>
        <v>6:24:21</v>
      </c>
      <c r="X264" s="10">
        <v>7.6850000000000002E-2</v>
      </c>
      <c r="Y264" s="12">
        <f>U264-X264</f>
        <v>36.80115</v>
      </c>
      <c r="Z264" s="10">
        <f>Y264-T264</f>
        <v>1.1500000000026489E-3</v>
      </c>
      <c r="AA264" s="10">
        <f t="shared" ref="AA264:AA269" si="67">AVERAGE(Y264,T264)</f>
        <v>36.800574999999995</v>
      </c>
      <c r="AB264" s="10" t="s">
        <v>90</v>
      </c>
    </row>
    <row r="265" spans="1:29" ht="15" customHeight="1" x14ac:dyDescent="0.25">
      <c r="A265">
        <v>69</v>
      </c>
      <c r="B265" t="s">
        <v>45</v>
      </c>
      <c r="C265" t="s">
        <v>46</v>
      </c>
      <c r="D265" t="s">
        <v>13</v>
      </c>
      <c r="E265" t="s">
        <v>5</v>
      </c>
      <c r="F265" s="1">
        <v>44956</v>
      </c>
      <c r="G265" s="1">
        <v>45083</v>
      </c>
      <c r="H265">
        <f t="shared" si="65"/>
        <v>127</v>
      </c>
      <c r="I265" t="s">
        <v>36</v>
      </c>
      <c r="J265">
        <v>28.5</v>
      </c>
      <c r="K265">
        <v>237</v>
      </c>
      <c r="L265">
        <v>2</v>
      </c>
      <c r="M265">
        <v>2</v>
      </c>
      <c r="N265">
        <v>2</v>
      </c>
      <c r="O265" s="2">
        <v>28.11</v>
      </c>
      <c r="P265" s="3">
        <v>0.87319999999999998</v>
      </c>
      <c r="Q265" s="4">
        <v>0.44003472222222201</v>
      </c>
      <c r="R265" s="4">
        <v>0.70833333333333337</v>
      </c>
      <c r="S265" s="2">
        <f t="shared" si="66"/>
        <v>36.852499999999999</v>
      </c>
      <c r="T265" s="13">
        <v>36.799999999999997</v>
      </c>
      <c r="U265" s="10">
        <v>36.905000000000001</v>
      </c>
      <c r="V265" s="2">
        <f>U265-T265</f>
        <v>0.10500000000000398</v>
      </c>
      <c r="W265" s="2" t="str">
        <f t="shared" si="61"/>
        <v>6:26:21</v>
      </c>
      <c r="X265" s="10">
        <v>7.6850000000000002E-2</v>
      </c>
      <c r="Y265" s="12">
        <f>U265-X265</f>
        <v>36.828150000000001</v>
      </c>
      <c r="Z265" s="10">
        <f>Y265-T265</f>
        <v>2.8150000000003672E-2</v>
      </c>
      <c r="AA265" s="10">
        <f t="shared" si="67"/>
        <v>36.814075000000003</v>
      </c>
      <c r="AB265" s="10" t="s">
        <v>90</v>
      </c>
    </row>
    <row r="266" spans="1:29" ht="15" customHeight="1" x14ac:dyDescent="0.25">
      <c r="A266">
        <v>69</v>
      </c>
      <c r="B266" t="s">
        <v>45</v>
      </c>
      <c r="C266" t="s">
        <v>46</v>
      </c>
      <c r="D266" t="s">
        <v>13</v>
      </c>
      <c r="E266" t="s">
        <v>5</v>
      </c>
      <c r="F266" s="1">
        <v>44956</v>
      </c>
      <c r="G266" s="1">
        <v>45083</v>
      </c>
      <c r="H266">
        <f t="shared" si="65"/>
        <v>127</v>
      </c>
      <c r="I266" t="s">
        <v>37</v>
      </c>
      <c r="J266">
        <v>30</v>
      </c>
      <c r="K266">
        <v>129</v>
      </c>
      <c r="L266">
        <v>2</v>
      </c>
      <c r="M266">
        <v>2</v>
      </c>
      <c r="N266">
        <v>3</v>
      </c>
      <c r="O266" s="2">
        <v>27.95</v>
      </c>
      <c r="P266" s="3">
        <v>0.85329999999999995</v>
      </c>
      <c r="Q266" s="4">
        <v>0.44003472222222201</v>
      </c>
      <c r="R266" s="4">
        <v>0.70833333333333337</v>
      </c>
      <c r="S266" s="2">
        <f t="shared" si="66"/>
        <v>36.852499999999999</v>
      </c>
      <c r="T266" s="13">
        <v>36.799999999999997</v>
      </c>
      <c r="U266" s="10">
        <v>36.905000000000001</v>
      </c>
      <c r="V266" s="2">
        <f>U266-T266</f>
        <v>0.10500000000000398</v>
      </c>
      <c r="W266" s="2" t="str">
        <f t="shared" si="61"/>
        <v>6:26:21</v>
      </c>
      <c r="X266" s="10">
        <v>7.6850000000000002E-2</v>
      </c>
      <c r="Y266" s="12">
        <f>U266-X266</f>
        <v>36.828150000000001</v>
      </c>
      <c r="Z266" s="10">
        <f>Y266-T266</f>
        <v>2.8150000000003672E-2</v>
      </c>
      <c r="AA266" s="10">
        <f t="shared" si="67"/>
        <v>36.814075000000003</v>
      </c>
      <c r="AB266" s="10" t="s">
        <v>90</v>
      </c>
    </row>
    <row r="267" spans="1:29" ht="15" customHeight="1" x14ac:dyDescent="0.25">
      <c r="A267">
        <v>69</v>
      </c>
      <c r="B267" t="s">
        <v>45</v>
      </c>
      <c r="C267" t="s">
        <v>46</v>
      </c>
      <c r="D267" t="s">
        <v>13</v>
      </c>
      <c r="E267" t="s">
        <v>5</v>
      </c>
      <c r="F267" s="1">
        <v>44956</v>
      </c>
      <c r="G267" s="1">
        <v>45083</v>
      </c>
      <c r="H267">
        <f t="shared" si="65"/>
        <v>127</v>
      </c>
      <c r="I267" t="s">
        <v>38</v>
      </c>
      <c r="J267">
        <v>31.5</v>
      </c>
      <c r="K267">
        <v>224</v>
      </c>
      <c r="L267">
        <v>2</v>
      </c>
      <c r="M267">
        <v>2</v>
      </c>
      <c r="N267">
        <v>4</v>
      </c>
      <c r="O267" s="2">
        <v>32.58</v>
      </c>
      <c r="P267" s="3">
        <v>1.2994000000000001</v>
      </c>
      <c r="Q267" s="4">
        <v>0.44003472222222201</v>
      </c>
      <c r="R267" s="4">
        <v>0.7104166666666667</v>
      </c>
      <c r="S267" s="2">
        <f t="shared" si="66"/>
        <v>36.905000000000001</v>
      </c>
      <c r="T267" s="13">
        <v>36.85</v>
      </c>
      <c r="U267" s="10">
        <v>36.96</v>
      </c>
      <c r="V267" s="2">
        <f>U267-T267</f>
        <v>0.10999999999999943</v>
      </c>
      <c r="W267" s="2" t="str">
        <f t="shared" si="61"/>
        <v>6:29:21</v>
      </c>
      <c r="X267" s="10">
        <v>7.6850000000000002E-2</v>
      </c>
      <c r="Y267" s="12">
        <f>U267-X267</f>
        <v>36.883150000000001</v>
      </c>
      <c r="Z267" s="10">
        <f>Y267-T267</f>
        <v>3.3149999999999125E-2</v>
      </c>
      <c r="AA267" s="10">
        <f t="shared" si="67"/>
        <v>36.866574999999997</v>
      </c>
      <c r="AB267" s="10" t="s">
        <v>90</v>
      </c>
    </row>
    <row r="268" spans="1:29" ht="15" customHeight="1" x14ac:dyDescent="0.25">
      <c r="A268">
        <v>60</v>
      </c>
      <c r="B268" t="s">
        <v>34</v>
      </c>
      <c r="C268" t="s">
        <v>35</v>
      </c>
      <c r="D268" t="s">
        <v>13</v>
      </c>
      <c r="E268" t="s">
        <v>5</v>
      </c>
      <c r="F268" s="1">
        <v>44943</v>
      </c>
      <c r="G268" s="1">
        <v>45078</v>
      </c>
      <c r="H268">
        <f t="shared" si="65"/>
        <v>135</v>
      </c>
      <c r="I268" t="s">
        <v>38</v>
      </c>
      <c r="J268">
        <v>28.5</v>
      </c>
      <c r="K268">
        <v>337</v>
      </c>
      <c r="L268">
        <v>2</v>
      </c>
      <c r="M268">
        <v>6</v>
      </c>
      <c r="N268">
        <v>4</v>
      </c>
      <c r="O268" s="2">
        <v>27.77</v>
      </c>
      <c r="P268" s="3">
        <v>0.71199999999999997</v>
      </c>
      <c r="Q268" s="4">
        <v>0.51203703703703696</v>
      </c>
      <c r="R268" s="4">
        <v>0.76041666666666663</v>
      </c>
      <c r="S268" s="2">
        <f t="shared" si="66"/>
        <v>36.9</v>
      </c>
      <c r="T268" s="13">
        <v>36.9</v>
      </c>
      <c r="V268" s="2"/>
      <c r="W268" s="2" t="str">
        <f t="shared" si="61"/>
        <v>5:57:40</v>
      </c>
      <c r="Y268" s="12"/>
      <c r="AA268" s="10">
        <f t="shared" si="67"/>
        <v>36.9</v>
      </c>
      <c r="AB268" s="10" t="s">
        <v>90</v>
      </c>
    </row>
    <row r="269" spans="1:29" ht="15" customHeight="1" x14ac:dyDescent="0.25">
      <c r="A269">
        <v>60</v>
      </c>
      <c r="B269" t="s">
        <v>34</v>
      </c>
      <c r="C269" t="s">
        <v>35</v>
      </c>
      <c r="D269" t="s">
        <v>13</v>
      </c>
      <c r="E269" t="s">
        <v>5</v>
      </c>
      <c r="F269" s="1">
        <v>44943</v>
      </c>
      <c r="G269" s="1">
        <v>45086</v>
      </c>
      <c r="H269">
        <f t="shared" si="65"/>
        <v>143</v>
      </c>
      <c r="I269" t="s">
        <v>37</v>
      </c>
      <c r="J269">
        <v>30</v>
      </c>
      <c r="K269">
        <v>152</v>
      </c>
      <c r="L269">
        <v>2</v>
      </c>
      <c r="M269">
        <v>1</v>
      </c>
      <c r="N269">
        <v>2</v>
      </c>
      <c r="O269" s="2">
        <v>33.520000000000003</v>
      </c>
      <c r="P269" s="3">
        <v>1.5706</v>
      </c>
      <c r="Q269" s="4">
        <v>0.481793981481482</v>
      </c>
      <c r="R269" s="4">
        <v>0.72777777777777775</v>
      </c>
      <c r="S269" s="2">
        <f t="shared" si="66"/>
        <v>36.916499999999999</v>
      </c>
      <c r="T269" s="13">
        <v>36.9</v>
      </c>
      <c r="U269" s="10">
        <v>36.933</v>
      </c>
      <c r="V269" s="2">
        <f>U269-T269</f>
        <v>3.3000000000001251E-2</v>
      </c>
      <c r="W269" s="2" t="str">
        <f t="shared" si="61"/>
        <v>5:54:13</v>
      </c>
      <c r="X269" s="10">
        <v>2.9250000000000002E-2</v>
      </c>
      <c r="Y269" s="12">
        <f>U269-X269</f>
        <v>36.903750000000002</v>
      </c>
      <c r="Z269" s="10">
        <f>Y269-T269</f>
        <v>3.7500000000036948E-3</v>
      </c>
      <c r="AA269" s="10">
        <f t="shared" si="67"/>
        <v>36.901875000000004</v>
      </c>
      <c r="AB269" s="10" t="s">
        <v>90</v>
      </c>
      <c r="AC269" s="3"/>
    </row>
    <row r="270" spans="1:29" ht="15" customHeight="1" x14ac:dyDescent="0.25">
      <c r="A270">
        <v>60</v>
      </c>
      <c r="B270" t="s">
        <v>34</v>
      </c>
      <c r="C270" t="s">
        <v>35</v>
      </c>
      <c r="D270" t="s">
        <v>13</v>
      </c>
      <c r="E270" t="s">
        <v>5</v>
      </c>
      <c r="F270" s="1">
        <v>44943</v>
      </c>
      <c r="G270" s="1">
        <v>45086</v>
      </c>
      <c r="H270">
        <f t="shared" si="65"/>
        <v>143</v>
      </c>
      <c r="J270">
        <v>28.5</v>
      </c>
      <c r="K270">
        <v>142</v>
      </c>
      <c r="L270" s="22">
        <v>1</v>
      </c>
      <c r="M270" s="14"/>
      <c r="N270" s="14"/>
      <c r="O270" s="16">
        <v>27.74</v>
      </c>
      <c r="P270" s="17">
        <v>0.78420000000000001</v>
      </c>
      <c r="Q270" s="4">
        <v>0.481793981481482</v>
      </c>
      <c r="R270" s="18">
        <v>0.72430555555555554</v>
      </c>
      <c r="S270" s="16"/>
      <c r="T270" s="19"/>
      <c r="U270" s="20"/>
      <c r="V270" s="20"/>
      <c r="W270" s="20"/>
      <c r="X270" s="20"/>
      <c r="Y270" s="21">
        <v>36.92</v>
      </c>
      <c r="Z270" s="20"/>
      <c r="AA270" s="20">
        <v>36.92</v>
      </c>
      <c r="AB270" s="20" t="s">
        <v>91</v>
      </c>
      <c r="AC270" s="14"/>
    </row>
    <row r="271" spans="1:29" ht="15" customHeight="1" x14ac:dyDescent="0.25">
      <c r="A271">
        <v>60</v>
      </c>
      <c r="B271" t="s">
        <v>34</v>
      </c>
      <c r="C271" t="s">
        <v>35</v>
      </c>
      <c r="D271" t="s">
        <v>13</v>
      </c>
      <c r="E271" t="s">
        <v>5</v>
      </c>
      <c r="F271" s="1">
        <v>44943</v>
      </c>
      <c r="G271" s="1">
        <v>45086</v>
      </c>
      <c r="H271">
        <f t="shared" si="65"/>
        <v>143</v>
      </c>
      <c r="J271">
        <v>28.5</v>
      </c>
      <c r="K271">
        <v>142</v>
      </c>
      <c r="L271" s="22">
        <v>1</v>
      </c>
      <c r="M271" s="14"/>
      <c r="N271" s="14"/>
      <c r="O271" s="16">
        <v>37.93</v>
      </c>
      <c r="P271" s="17">
        <v>1.8859999999999999</v>
      </c>
      <c r="Q271" s="4">
        <v>0.481793981481482</v>
      </c>
      <c r="R271" s="18">
        <v>0.72569444444444453</v>
      </c>
      <c r="S271" s="16"/>
      <c r="T271" s="19"/>
      <c r="U271" s="20"/>
      <c r="V271" s="20"/>
      <c r="W271" s="20"/>
      <c r="X271" s="20"/>
      <c r="Y271" s="21">
        <v>36.92</v>
      </c>
      <c r="Z271" s="20"/>
      <c r="AA271" s="20">
        <v>36.92</v>
      </c>
      <c r="AB271" s="20" t="s">
        <v>91</v>
      </c>
      <c r="AC271" s="14"/>
    </row>
    <row r="272" spans="1:29" ht="15" customHeight="1" x14ac:dyDescent="0.25">
      <c r="A272">
        <v>89</v>
      </c>
      <c r="B272" t="s">
        <v>34</v>
      </c>
      <c r="C272" t="s">
        <v>35</v>
      </c>
      <c r="D272" t="s">
        <v>13</v>
      </c>
      <c r="E272" t="s">
        <v>5</v>
      </c>
      <c r="F272" s="1">
        <v>44967</v>
      </c>
      <c r="G272" s="1">
        <v>45083</v>
      </c>
      <c r="H272">
        <f t="shared" si="65"/>
        <v>116</v>
      </c>
      <c r="I272" t="s">
        <v>36</v>
      </c>
      <c r="J272">
        <v>28.5</v>
      </c>
      <c r="K272">
        <v>246</v>
      </c>
      <c r="L272">
        <v>1</v>
      </c>
      <c r="M272">
        <v>1</v>
      </c>
      <c r="N272">
        <v>4</v>
      </c>
      <c r="O272" s="2">
        <v>24.45</v>
      </c>
      <c r="P272" s="3">
        <v>0.58830000000000005</v>
      </c>
      <c r="Q272" s="4">
        <v>0.44003472222222223</v>
      </c>
      <c r="R272" s="4">
        <v>0.70972222222222225</v>
      </c>
      <c r="S272" s="2">
        <f t="shared" ref="S272:S278" si="68">AVERAGE(T272:U272)</f>
        <v>36.93</v>
      </c>
      <c r="T272" s="13">
        <v>36.9</v>
      </c>
      <c r="U272" s="10">
        <v>36.96</v>
      </c>
      <c r="V272" s="2">
        <f t="shared" ref="V272:V277" si="69">U272-T272</f>
        <v>6.0000000000002274E-2</v>
      </c>
      <c r="W272" s="2" t="str">
        <f t="shared" ref="W272:W303" si="70">TEXT(R272-Q272,"h:mm:ss")</f>
        <v>6:28:21</v>
      </c>
      <c r="X272" s="10">
        <v>7.3099999999999997E-3</v>
      </c>
      <c r="Y272" s="12">
        <f t="shared" ref="Y272:Y278" si="71">U272-X272</f>
        <v>36.952690000000004</v>
      </c>
      <c r="Z272" s="10">
        <f t="shared" ref="Z272:Z277" si="72">Y272-T272</f>
        <v>5.2690000000005455E-2</v>
      </c>
      <c r="AA272" s="10">
        <f t="shared" ref="AA272:AA278" si="73">AVERAGE(Y272,T272)</f>
        <v>36.926344999999998</v>
      </c>
      <c r="AB272" s="10" t="s">
        <v>90</v>
      </c>
    </row>
    <row r="273" spans="1:29" ht="15" customHeight="1" x14ac:dyDescent="0.25">
      <c r="A273">
        <v>89</v>
      </c>
      <c r="B273" t="s">
        <v>34</v>
      </c>
      <c r="C273" t="s">
        <v>35</v>
      </c>
      <c r="D273" t="s">
        <v>13</v>
      </c>
      <c r="E273" t="s">
        <v>5</v>
      </c>
      <c r="F273" s="1">
        <v>44967</v>
      </c>
      <c r="G273" s="1">
        <v>45083</v>
      </c>
      <c r="H273">
        <f t="shared" si="65"/>
        <v>116</v>
      </c>
      <c r="I273" t="s">
        <v>36</v>
      </c>
      <c r="J273">
        <v>28.5</v>
      </c>
      <c r="K273">
        <v>246</v>
      </c>
      <c r="L273">
        <v>1</v>
      </c>
      <c r="M273">
        <v>1</v>
      </c>
      <c r="N273">
        <v>1</v>
      </c>
      <c r="O273" s="2">
        <v>27.12</v>
      </c>
      <c r="P273" s="3">
        <v>0.87150000000000005</v>
      </c>
      <c r="Q273" s="4">
        <v>0.44003472222222223</v>
      </c>
      <c r="R273" s="4">
        <v>0.70972222222222225</v>
      </c>
      <c r="S273" s="2">
        <f t="shared" si="68"/>
        <v>36.93</v>
      </c>
      <c r="T273" s="13">
        <v>36.9</v>
      </c>
      <c r="U273" s="10">
        <v>36.96</v>
      </c>
      <c r="V273" s="2">
        <f t="shared" si="69"/>
        <v>6.0000000000002274E-2</v>
      </c>
      <c r="W273" s="2" t="str">
        <f t="shared" si="70"/>
        <v>6:28:21</v>
      </c>
      <c r="X273" s="10">
        <v>7.3099999999999997E-3</v>
      </c>
      <c r="Y273" s="12">
        <f t="shared" si="71"/>
        <v>36.952690000000004</v>
      </c>
      <c r="Z273" s="10">
        <f t="shared" si="72"/>
        <v>5.2690000000005455E-2</v>
      </c>
      <c r="AA273" s="10">
        <f t="shared" si="73"/>
        <v>36.926344999999998</v>
      </c>
      <c r="AB273" s="10" t="s">
        <v>90</v>
      </c>
    </row>
    <row r="274" spans="1:29" ht="15" customHeight="1" x14ac:dyDescent="0.25">
      <c r="A274">
        <v>60</v>
      </c>
      <c r="B274" t="s">
        <v>34</v>
      </c>
      <c r="C274" t="s">
        <v>35</v>
      </c>
      <c r="D274" t="s">
        <v>13</v>
      </c>
      <c r="E274" t="s">
        <v>5</v>
      </c>
      <c r="F274" s="1">
        <v>44943</v>
      </c>
      <c r="G274" s="1">
        <v>45086</v>
      </c>
      <c r="H274">
        <f t="shared" si="65"/>
        <v>143</v>
      </c>
      <c r="I274" t="s">
        <v>38</v>
      </c>
      <c r="J274">
        <v>31.5</v>
      </c>
      <c r="K274">
        <v>128</v>
      </c>
      <c r="L274">
        <v>2</v>
      </c>
      <c r="M274">
        <v>1</v>
      </c>
      <c r="N274">
        <v>4</v>
      </c>
      <c r="O274" s="2">
        <v>28.33</v>
      </c>
      <c r="P274" s="3">
        <v>0.85760000000000003</v>
      </c>
      <c r="Q274" s="4">
        <v>0.481793981481482</v>
      </c>
      <c r="R274" s="4">
        <v>0.73055555555555562</v>
      </c>
      <c r="S274" s="2">
        <f t="shared" si="68"/>
        <v>36.9435</v>
      </c>
      <c r="T274" s="13">
        <v>36.9</v>
      </c>
      <c r="U274" s="10">
        <v>36.987000000000002</v>
      </c>
      <c r="V274" s="2">
        <f t="shared" si="69"/>
        <v>8.7000000000003297E-2</v>
      </c>
      <c r="W274" s="2" t="str">
        <f t="shared" si="70"/>
        <v>5:58:13</v>
      </c>
      <c r="X274" s="10">
        <v>2.9250000000000002E-2</v>
      </c>
      <c r="Y274" s="12">
        <f t="shared" si="71"/>
        <v>36.957750000000004</v>
      </c>
      <c r="Z274" s="10">
        <f t="shared" si="72"/>
        <v>5.7750000000005741E-2</v>
      </c>
      <c r="AA274" s="10">
        <f t="shared" si="73"/>
        <v>36.928875000000005</v>
      </c>
      <c r="AB274" s="10" t="s">
        <v>90</v>
      </c>
      <c r="AC274" s="3"/>
    </row>
    <row r="275" spans="1:29" ht="15" customHeight="1" x14ac:dyDescent="0.25">
      <c r="A275">
        <v>89</v>
      </c>
      <c r="B275" t="s">
        <v>34</v>
      </c>
      <c r="C275" t="s">
        <v>35</v>
      </c>
      <c r="D275" t="s">
        <v>13</v>
      </c>
      <c r="E275" t="s">
        <v>5</v>
      </c>
      <c r="F275" s="1">
        <v>44967</v>
      </c>
      <c r="G275" s="1">
        <v>45083</v>
      </c>
      <c r="H275">
        <f t="shared" si="65"/>
        <v>116</v>
      </c>
      <c r="I275" t="s">
        <v>36</v>
      </c>
      <c r="J275">
        <v>28.5</v>
      </c>
      <c r="K275">
        <v>246</v>
      </c>
      <c r="L275">
        <v>1</v>
      </c>
      <c r="M275">
        <v>1</v>
      </c>
      <c r="N275">
        <v>2</v>
      </c>
      <c r="O275" s="2">
        <v>23.25</v>
      </c>
      <c r="P275" s="3">
        <v>0.53310000000000002</v>
      </c>
      <c r="Q275" s="4">
        <v>0.44003472222222201</v>
      </c>
      <c r="R275" s="4">
        <v>0.71111111111111114</v>
      </c>
      <c r="S275" s="2">
        <f t="shared" si="68"/>
        <v>36.9435</v>
      </c>
      <c r="T275" s="13">
        <v>36.9</v>
      </c>
      <c r="U275" s="10">
        <v>36.987000000000002</v>
      </c>
      <c r="V275" s="2">
        <f t="shared" si="69"/>
        <v>8.7000000000003297E-2</v>
      </c>
      <c r="W275" s="2" t="str">
        <f t="shared" si="70"/>
        <v>6:30:21</v>
      </c>
      <c r="X275" s="10">
        <v>7.3099999999999997E-3</v>
      </c>
      <c r="Y275" s="12">
        <f t="shared" si="71"/>
        <v>36.979690000000005</v>
      </c>
      <c r="Z275" s="10">
        <f t="shared" si="72"/>
        <v>7.9690000000006478E-2</v>
      </c>
      <c r="AA275" s="10">
        <f t="shared" si="73"/>
        <v>36.939845000000005</v>
      </c>
      <c r="AB275" s="10" t="s">
        <v>90</v>
      </c>
    </row>
    <row r="276" spans="1:29" ht="15" customHeight="1" x14ac:dyDescent="0.25">
      <c r="A276">
        <v>60</v>
      </c>
      <c r="B276" t="s">
        <v>34</v>
      </c>
      <c r="C276" t="s">
        <v>35</v>
      </c>
      <c r="D276" t="s">
        <v>13</v>
      </c>
      <c r="E276" t="s">
        <v>5</v>
      </c>
      <c r="F276" s="1">
        <v>44943</v>
      </c>
      <c r="G276" s="1">
        <v>45086</v>
      </c>
      <c r="H276">
        <f t="shared" si="65"/>
        <v>143</v>
      </c>
      <c r="I276" t="s">
        <v>37</v>
      </c>
      <c r="J276">
        <v>30</v>
      </c>
      <c r="K276">
        <v>152</v>
      </c>
      <c r="L276">
        <v>2</v>
      </c>
      <c r="M276">
        <v>1</v>
      </c>
      <c r="N276">
        <v>5</v>
      </c>
      <c r="O276" s="2">
        <v>35.520000000000003</v>
      </c>
      <c r="P276" s="3">
        <v>1.7184999999999999</v>
      </c>
      <c r="Q276" s="4">
        <v>0.481793981481482</v>
      </c>
      <c r="R276" s="4">
        <v>0.7319444444444444</v>
      </c>
      <c r="S276" s="2">
        <f t="shared" si="68"/>
        <v>36.957499999999996</v>
      </c>
      <c r="T276" s="13">
        <v>36.9</v>
      </c>
      <c r="U276" s="10">
        <v>37.015000000000001</v>
      </c>
      <c r="V276" s="2">
        <f t="shared" si="69"/>
        <v>0.11500000000000199</v>
      </c>
      <c r="W276" s="2" t="str">
        <f t="shared" si="70"/>
        <v>6:00:13</v>
      </c>
      <c r="X276" s="10">
        <v>2.9250000000000002E-2</v>
      </c>
      <c r="Y276" s="12">
        <f t="shared" si="71"/>
        <v>36.985750000000003</v>
      </c>
      <c r="Z276" s="10">
        <f t="shared" si="72"/>
        <v>8.5750000000004434E-2</v>
      </c>
      <c r="AA276" s="10">
        <f t="shared" si="73"/>
        <v>36.942875000000001</v>
      </c>
      <c r="AB276" s="10" t="s">
        <v>90</v>
      </c>
      <c r="AC276" s="3"/>
    </row>
    <row r="277" spans="1:29" ht="15" customHeight="1" x14ac:dyDescent="0.25">
      <c r="A277">
        <v>60</v>
      </c>
      <c r="B277" t="s">
        <v>34</v>
      </c>
      <c r="C277" t="s">
        <v>35</v>
      </c>
      <c r="D277" t="s">
        <v>13</v>
      </c>
      <c r="E277" t="s">
        <v>5</v>
      </c>
      <c r="F277" s="1">
        <v>44943</v>
      </c>
      <c r="G277" s="1">
        <v>45086</v>
      </c>
      <c r="H277">
        <f t="shared" si="65"/>
        <v>143</v>
      </c>
      <c r="I277" t="s">
        <v>38</v>
      </c>
      <c r="J277">
        <v>31.5</v>
      </c>
      <c r="K277">
        <v>128</v>
      </c>
      <c r="L277">
        <v>2</v>
      </c>
      <c r="M277">
        <v>1</v>
      </c>
      <c r="N277">
        <v>1</v>
      </c>
      <c r="O277" s="2">
        <v>29.46</v>
      </c>
      <c r="P277" s="3">
        <v>1.0839000000000001</v>
      </c>
      <c r="Q277" s="4">
        <v>0.481793981481482</v>
      </c>
      <c r="R277" s="4">
        <v>0.7319444444444444</v>
      </c>
      <c r="S277" s="2">
        <f t="shared" si="68"/>
        <v>36.957499999999996</v>
      </c>
      <c r="T277" s="13">
        <v>36.9</v>
      </c>
      <c r="U277" s="10">
        <v>37.015000000000001</v>
      </c>
      <c r="V277" s="2">
        <f t="shared" si="69"/>
        <v>0.11500000000000199</v>
      </c>
      <c r="W277" s="2" t="str">
        <f t="shared" si="70"/>
        <v>6:00:13</v>
      </c>
      <c r="X277" s="10">
        <v>2.9250000000000002E-2</v>
      </c>
      <c r="Y277" s="12">
        <f t="shared" si="71"/>
        <v>36.985750000000003</v>
      </c>
      <c r="Z277" s="10">
        <f t="shared" si="72"/>
        <v>8.5750000000004434E-2</v>
      </c>
      <c r="AA277" s="10">
        <f t="shared" si="73"/>
        <v>36.942875000000001</v>
      </c>
      <c r="AB277" s="10" t="s">
        <v>90</v>
      </c>
      <c r="AC277" s="3"/>
    </row>
    <row r="278" spans="1:29" ht="15" customHeight="1" x14ac:dyDescent="0.25">
      <c r="A278">
        <v>69</v>
      </c>
      <c r="B278" t="s">
        <v>45</v>
      </c>
      <c r="C278" t="s">
        <v>46</v>
      </c>
      <c r="D278" t="s">
        <v>13</v>
      </c>
      <c r="E278" t="s">
        <v>5</v>
      </c>
      <c r="F278" s="1">
        <v>44956</v>
      </c>
      <c r="G278" s="1">
        <v>45083</v>
      </c>
      <c r="H278">
        <f t="shared" si="65"/>
        <v>127</v>
      </c>
      <c r="I278" t="s">
        <v>38</v>
      </c>
      <c r="J278">
        <v>31.5</v>
      </c>
      <c r="K278">
        <v>224</v>
      </c>
      <c r="L278">
        <v>2</v>
      </c>
      <c r="M278">
        <v>2</v>
      </c>
      <c r="N278">
        <v>3</v>
      </c>
      <c r="O278" s="2">
        <v>32.72</v>
      </c>
      <c r="P278" s="3">
        <v>1.3856999999999999</v>
      </c>
      <c r="Q278" s="4">
        <v>0.44003472222222201</v>
      </c>
      <c r="R278" s="4">
        <v>0.71388888888888891</v>
      </c>
      <c r="S278" s="2">
        <f t="shared" si="68"/>
        <v>37.042000000000002</v>
      </c>
      <c r="T278" s="13"/>
      <c r="U278" s="10">
        <v>37.042000000000002</v>
      </c>
      <c r="V278" s="2"/>
      <c r="W278" s="2" t="str">
        <f t="shared" si="70"/>
        <v>6:34:21</v>
      </c>
      <c r="X278" s="10">
        <v>7.6850000000000002E-2</v>
      </c>
      <c r="Y278" s="12">
        <f t="shared" si="71"/>
        <v>36.965150000000001</v>
      </c>
      <c r="AA278" s="10">
        <f t="shared" si="73"/>
        <v>36.965150000000001</v>
      </c>
      <c r="AB278" s="10" t="s">
        <v>90</v>
      </c>
    </row>
    <row r="279" spans="1:29" ht="15" customHeight="1" x14ac:dyDescent="0.25">
      <c r="A279">
        <v>60</v>
      </c>
      <c r="B279" t="s">
        <v>34</v>
      </c>
      <c r="C279" t="s">
        <v>35</v>
      </c>
      <c r="D279" t="s">
        <v>13</v>
      </c>
      <c r="E279" t="s">
        <v>5</v>
      </c>
      <c r="F279" s="1">
        <v>44943</v>
      </c>
      <c r="G279" s="1">
        <v>45083</v>
      </c>
      <c r="H279">
        <f t="shared" si="65"/>
        <v>140</v>
      </c>
      <c r="J279">
        <v>31.5</v>
      </c>
      <c r="K279">
        <v>128</v>
      </c>
      <c r="L279">
        <v>2</v>
      </c>
      <c r="O279" s="2">
        <v>29.46</v>
      </c>
      <c r="P279" s="3">
        <v>1.0839000000000001</v>
      </c>
      <c r="Q279" s="4">
        <v>0.44003472222222201</v>
      </c>
      <c r="R279" s="4">
        <v>0.7090277777777777</v>
      </c>
      <c r="S279" s="2"/>
      <c r="T279" s="13"/>
      <c r="V279" s="10"/>
      <c r="W279" s="2" t="str">
        <f t="shared" si="70"/>
        <v>6:27:21</v>
      </c>
      <c r="Y279" s="12"/>
      <c r="AA279" s="10">
        <v>36.97</v>
      </c>
      <c r="AB279" s="10" t="s">
        <v>91</v>
      </c>
      <c r="AC279" s="3"/>
    </row>
    <row r="280" spans="1:29" ht="15" customHeight="1" x14ac:dyDescent="0.25">
      <c r="A280">
        <v>60</v>
      </c>
      <c r="B280" t="s">
        <v>34</v>
      </c>
      <c r="C280" t="s">
        <v>35</v>
      </c>
      <c r="D280" t="s">
        <v>13</v>
      </c>
      <c r="E280" t="s">
        <v>5</v>
      </c>
      <c r="F280" s="1">
        <v>44943</v>
      </c>
      <c r="G280" s="1">
        <v>45078</v>
      </c>
      <c r="H280">
        <f t="shared" si="65"/>
        <v>135</v>
      </c>
      <c r="I280" t="s">
        <v>38</v>
      </c>
      <c r="J280">
        <v>28.5</v>
      </c>
      <c r="K280">
        <v>337</v>
      </c>
      <c r="L280">
        <v>2</v>
      </c>
      <c r="M280">
        <v>6</v>
      </c>
      <c r="N280">
        <v>3</v>
      </c>
      <c r="O280" s="2">
        <v>33.14</v>
      </c>
      <c r="P280" s="3">
        <v>1.3259000000000001</v>
      </c>
      <c r="Q280" s="4">
        <v>0.51203703703703696</v>
      </c>
      <c r="R280" s="4">
        <v>0.7631944444444444</v>
      </c>
      <c r="S280" s="2">
        <f>AVERAGE(T280:U280)</f>
        <v>37</v>
      </c>
      <c r="T280" s="13">
        <v>37</v>
      </c>
      <c r="V280" s="2"/>
      <c r="W280" s="2" t="str">
        <f t="shared" si="70"/>
        <v>6:01:40</v>
      </c>
      <c r="Y280" s="12"/>
      <c r="AA280" s="10">
        <f>AVERAGE(Y280,T280)</f>
        <v>37</v>
      </c>
      <c r="AB280" s="10" t="s">
        <v>90</v>
      </c>
    </row>
    <row r="281" spans="1:29" ht="15" customHeight="1" x14ac:dyDescent="0.25">
      <c r="A281">
        <v>60</v>
      </c>
      <c r="B281" t="s">
        <v>34</v>
      </c>
      <c r="C281" t="s">
        <v>35</v>
      </c>
      <c r="D281" t="s">
        <v>13</v>
      </c>
      <c r="E281" t="s">
        <v>5</v>
      </c>
      <c r="F281" s="1">
        <v>44943</v>
      </c>
      <c r="G281" s="1">
        <v>45078</v>
      </c>
      <c r="H281">
        <f t="shared" si="65"/>
        <v>135</v>
      </c>
      <c r="I281" t="s">
        <v>38</v>
      </c>
      <c r="J281">
        <v>28.5</v>
      </c>
      <c r="K281">
        <v>337</v>
      </c>
      <c r="L281">
        <v>2</v>
      </c>
      <c r="M281">
        <v>6</v>
      </c>
      <c r="N281">
        <v>5</v>
      </c>
      <c r="O281" s="2">
        <v>32.96</v>
      </c>
      <c r="P281" s="3">
        <v>1.3392999999999999</v>
      </c>
      <c r="Q281" s="4">
        <v>0.51203703703703696</v>
      </c>
      <c r="R281" s="4">
        <v>0.76527777777777783</v>
      </c>
      <c r="S281" s="2">
        <f>AVERAGE(T281:U281)</f>
        <v>37</v>
      </c>
      <c r="T281" s="13">
        <v>37</v>
      </c>
      <c r="V281" s="2"/>
      <c r="W281" s="2" t="str">
        <f t="shared" si="70"/>
        <v>6:04:40</v>
      </c>
      <c r="Y281" s="12"/>
      <c r="AA281" s="10">
        <f>AVERAGE(Y281,T281)</f>
        <v>37</v>
      </c>
      <c r="AB281" s="10" t="s">
        <v>90</v>
      </c>
    </row>
    <row r="282" spans="1:29" ht="15" customHeight="1" x14ac:dyDescent="0.25">
      <c r="A282">
        <v>60</v>
      </c>
      <c r="B282" t="s">
        <v>34</v>
      </c>
      <c r="C282" t="s">
        <v>35</v>
      </c>
      <c r="D282" t="s">
        <v>13</v>
      </c>
      <c r="E282" t="s">
        <v>5</v>
      </c>
      <c r="F282" s="1">
        <v>44943</v>
      </c>
      <c r="G282" s="1">
        <v>45078</v>
      </c>
      <c r="H282">
        <f t="shared" si="65"/>
        <v>135</v>
      </c>
      <c r="I282" t="s">
        <v>38</v>
      </c>
      <c r="J282">
        <v>28.5</v>
      </c>
      <c r="K282">
        <v>337</v>
      </c>
      <c r="L282">
        <v>2</v>
      </c>
      <c r="M282">
        <v>6</v>
      </c>
      <c r="N282">
        <v>2</v>
      </c>
      <c r="O282" s="2">
        <v>34.06</v>
      </c>
      <c r="P282" s="3">
        <v>1.4123000000000001</v>
      </c>
      <c r="Q282" s="4">
        <v>0.51203703703703696</v>
      </c>
      <c r="R282" s="4">
        <v>0.76388888888888884</v>
      </c>
      <c r="S282" s="2">
        <f>AVERAGE(T282:U282)</f>
        <v>37</v>
      </c>
      <c r="T282" s="13">
        <v>37</v>
      </c>
      <c r="V282" s="2"/>
      <c r="W282" s="2" t="str">
        <f t="shared" si="70"/>
        <v>6:02:40</v>
      </c>
      <c r="Y282" s="12"/>
      <c r="AA282" s="10">
        <f>AVERAGE(Y282,T282)</f>
        <v>37</v>
      </c>
      <c r="AB282" s="10" t="s">
        <v>90</v>
      </c>
    </row>
    <row r="283" spans="1:29" ht="15" customHeight="1" x14ac:dyDescent="0.25">
      <c r="A283">
        <v>60</v>
      </c>
      <c r="B283" t="s">
        <v>34</v>
      </c>
      <c r="C283" t="s">
        <v>35</v>
      </c>
      <c r="D283" t="s">
        <v>13</v>
      </c>
      <c r="E283" t="s">
        <v>5</v>
      </c>
      <c r="F283" s="1">
        <v>44943</v>
      </c>
      <c r="G283" s="1">
        <v>45078</v>
      </c>
      <c r="H283">
        <f t="shared" si="65"/>
        <v>135</v>
      </c>
      <c r="I283" t="s">
        <v>38</v>
      </c>
      <c r="J283">
        <v>28.5</v>
      </c>
      <c r="K283">
        <v>337</v>
      </c>
      <c r="L283">
        <v>2</v>
      </c>
      <c r="M283">
        <v>6</v>
      </c>
      <c r="N283">
        <v>1</v>
      </c>
      <c r="O283" s="2">
        <v>37.659999999999997</v>
      </c>
      <c r="P283" s="3">
        <v>1.6032</v>
      </c>
      <c r="Q283" s="4">
        <v>0.51203703703703696</v>
      </c>
      <c r="R283" s="4">
        <v>0.76388888888888884</v>
      </c>
      <c r="S283" s="2">
        <f>AVERAGE(T283:U283)</f>
        <v>37</v>
      </c>
      <c r="T283" s="13">
        <v>37</v>
      </c>
      <c r="V283" s="2"/>
      <c r="W283" s="2" t="str">
        <f t="shared" si="70"/>
        <v>6:02:40</v>
      </c>
      <c r="Y283" s="12"/>
      <c r="AA283" s="10">
        <f>AVERAGE(Y283,T283)</f>
        <v>37</v>
      </c>
      <c r="AB283" s="10" t="s">
        <v>90</v>
      </c>
    </row>
    <row r="284" spans="1:29" ht="15" customHeight="1" x14ac:dyDescent="0.25">
      <c r="A284">
        <v>60</v>
      </c>
      <c r="B284" t="s">
        <v>34</v>
      </c>
      <c r="C284" t="s">
        <v>35</v>
      </c>
      <c r="D284" t="s">
        <v>13</v>
      </c>
      <c r="E284" t="s">
        <v>5</v>
      </c>
      <c r="F284" s="1">
        <v>44943</v>
      </c>
      <c r="G284" s="1">
        <v>45078</v>
      </c>
      <c r="H284">
        <f t="shared" si="65"/>
        <v>135</v>
      </c>
      <c r="I284" t="s">
        <v>37</v>
      </c>
      <c r="J284">
        <v>30</v>
      </c>
      <c r="K284">
        <v>152</v>
      </c>
      <c r="L284">
        <v>1</v>
      </c>
      <c r="M284">
        <v>6</v>
      </c>
      <c r="N284">
        <v>5</v>
      </c>
      <c r="O284" s="2">
        <v>26.52</v>
      </c>
      <c r="P284" s="3">
        <v>0.71899999999999997</v>
      </c>
      <c r="Q284" s="4">
        <v>0.51203703703703696</v>
      </c>
      <c r="R284" s="4">
        <v>0.76527777777777783</v>
      </c>
      <c r="S284" s="2">
        <f>AVERAGE(T284:U284)</f>
        <v>37</v>
      </c>
      <c r="T284" s="13">
        <v>37</v>
      </c>
      <c r="V284" s="2"/>
      <c r="W284" s="2" t="str">
        <f t="shared" si="70"/>
        <v>6:04:40</v>
      </c>
      <c r="Y284" s="12"/>
      <c r="AA284" s="10">
        <f>AVERAGE(Y284,T284)</f>
        <v>37</v>
      </c>
      <c r="AB284" s="10" t="s">
        <v>90</v>
      </c>
    </row>
    <row r="285" spans="1:29" ht="15" customHeight="1" x14ac:dyDescent="0.25">
      <c r="A285">
        <v>69</v>
      </c>
      <c r="B285" t="s">
        <v>45</v>
      </c>
      <c r="C285" t="s">
        <v>46</v>
      </c>
      <c r="D285" t="s">
        <v>13</v>
      </c>
      <c r="E285" t="s">
        <v>5</v>
      </c>
      <c r="F285" s="1">
        <v>44956</v>
      </c>
      <c r="G285" s="1">
        <v>45088</v>
      </c>
      <c r="H285">
        <f t="shared" si="65"/>
        <v>132</v>
      </c>
      <c r="J285">
        <v>31.5</v>
      </c>
      <c r="K285">
        <v>259</v>
      </c>
      <c r="L285">
        <v>1</v>
      </c>
      <c r="O285" s="2">
        <v>30.68</v>
      </c>
      <c r="P285" s="3">
        <v>1.0899000000000001</v>
      </c>
      <c r="Q285" s="4">
        <v>0.54236111111111096</v>
      </c>
      <c r="R285" s="4">
        <v>0.79583333333333339</v>
      </c>
      <c r="S285" s="2"/>
      <c r="T285" s="13"/>
      <c r="V285" s="10"/>
      <c r="W285" s="2" t="str">
        <f t="shared" si="70"/>
        <v>6:05:00</v>
      </c>
      <c r="Y285" s="12"/>
      <c r="AA285" s="10">
        <v>37</v>
      </c>
      <c r="AB285" s="10" t="s">
        <v>91</v>
      </c>
    </row>
    <row r="286" spans="1:29" ht="15" customHeight="1" x14ac:dyDescent="0.25">
      <c r="A286">
        <v>69</v>
      </c>
      <c r="B286" t="s">
        <v>45</v>
      </c>
      <c r="C286" t="s">
        <v>46</v>
      </c>
      <c r="D286" t="s">
        <v>13</v>
      </c>
      <c r="E286" t="s">
        <v>5</v>
      </c>
      <c r="F286" s="1">
        <v>44956</v>
      </c>
      <c r="G286" s="1">
        <v>45083</v>
      </c>
      <c r="H286">
        <f t="shared" si="65"/>
        <v>127</v>
      </c>
      <c r="I286" t="s">
        <v>37</v>
      </c>
      <c r="J286">
        <v>30</v>
      </c>
      <c r="K286">
        <v>129</v>
      </c>
      <c r="L286">
        <v>2</v>
      </c>
      <c r="M286">
        <v>2</v>
      </c>
      <c r="N286">
        <v>2</v>
      </c>
      <c r="O286" s="2">
        <v>29.56</v>
      </c>
      <c r="P286" s="3">
        <v>0.99429999999999996</v>
      </c>
      <c r="Q286" s="4">
        <v>0.44003472222222201</v>
      </c>
      <c r="R286" s="4">
        <v>0.71597222222222223</v>
      </c>
      <c r="S286" s="2">
        <f t="shared" ref="S286:S306" si="74">AVERAGE(T286:U286)</f>
        <v>37.095999999999997</v>
      </c>
      <c r="T286" s="13"/>
      <c r="U286" s="10">
        <v>37.095999999999997</v>
      </c>
      <c r="V286" s="2"/>
      <c r="W286" s="2" t="str">
        <f t="shared" si="70"/>
        <v>6:37:21</v>
      </c>
      <c r="X286" s="10">
        <v>7.6850000000000002E-2</v>
      </c>
      <c r="Y286" s="12">
        <f t="shared" ref="Y286:Y297" si="75">U286-X286</f>
        <v>37.019149999999996</v>
      </c>
      <c r="AA286" s="10">
        <f t="shared" ref="AA286:AA306" si="76">AVERAGE(Y286,T286)</f>
        <v>37.019149999999996</v>
      </c>
      <c r="AB286" s="10" t="s">
        <v>90</v>
      </c>
    </row>
    <row r="287" spans="1:29" ht="15" customHeight="1" x14ac:dyDescent="0.25">
      <c r="A287">
        <v>69</v>
      </c>
      <c r="B287" t="s">
        <v>45</v>
      </c>
      <c r="C287" t="s">
        <v>46</v>
      </c>
      <c r="D287" t="s">
        <v>13</v>
      </c>
      <c r="E287" t="s">
        <v>5</v>
      </c>
      <c r="F287" s="1">
        <v>44956</v>
      </c>
      <c r="G287" s="1">
        <v>45083</v>
      </c>
      <c r="H287">
        <f t="shared" si="65"/>
        <v>127</v>
      </c>
      <c r="I287" t="s">
        <v>37</v>
      </c>
      <c r="J287">
        <v>30</v>
      </c>
      <c r="K287">
        <v>129</v>
      </c>
      <c r="L287">
        <v>2</v>
      </c>
      <c r="M287">
        <v>2</v>
      </c>
      <c r="N287">
        <v>4</v>
      </c>
      <c r="O287" s="2">
        <v>29.53</v>
      </c>
      <c r="P287" s="3">
        <v>1.0643</v>
      </c>
      <c r="Q287" s="4">
        <v>0.44003472222222201</v>
      </c>
      <c r="R287" s="4">
        <v>0.71597222222222223</v>
      </c>
      <c r="S287" s="2">
        <f t="shared" si="74"/>
        <v>37.095999999999997</v>
      </c>
      <c r="T287" s="13"/>
      <c r="U287" s="10">
        <v>37.095999999999997</v>
      </c>
      <c r="V287" s="2"/>
      <c r="W287" s="2" t="str">
        <f t="shared" si="70"/>
        <v>6:37:21</v>
      </c>
      <c r="X287" s="10">
        <v>7.6850000000000002E-2</v>
      </c>
      <c r="Y287" s="12">
        <f t="shared" si="75"/>
        <v>37.019149999999996</v>
      </c>
      <c r="AA287" s="10">
        <f t="shared" si="76"/>
        <v>37.019149999999996</v>
      </c>
      <c r="AB287" s="10" t="s">
        <v>90</v>
      </c>
    </row>
    <row r="288" spans="1:29" ht="15" customHeight="1" x14ac:dyDescent="0.25">
      <c r="A288">
        <v>69</v>
      </c>
      <c r="B288" t="s">
        <v>45</v>
      </c>
      <c r="C288" t="s">
        <v>46</v>
      </c>
      <c r="D288" t="s">
        <v>13</v>
      </c>
      <c r="E288" t="s">
        <v>5</v>
      </c>
      <c r="F288" s="1">
        <v>44956</v>
      </c>
      <c r="G288" s="1">
        <v>45083</v>
      </c>
      <c r="H288">
        <f t="shared" si="65"/>
        <v>127</v>
      </c>
      <c r="I288" t="s">
        <v>38</v>
      </c>
      <c r="J288">
        <v>31.5</v>
      </c>
      <c r="K288">
        <v>224</v>
      </c>
      <c r="L288">
        <v>2</v>
      </c>
      <c r="M288">
        <v>2</v>
      </c>
      <c r="N288">
        <v>5</v>
      </c>
      <c r="O288" s="2">
        <v>32.83</v>
      </c>
      <c r="P288" s="3">
        <v>1.3371999999999999</v>
      </c>
      <c r="Q288" s="4">
        <v>0.44003472222222201</v>
      </c>
      <c r="R288" s="4">
        <v>0.71597222222222223</v>
      </c>
      <c r="S288" s="2">
        <f t="shared" si="74"/>
        <v>37.095999999999997</v>
      </c>
      <c r="T288" s="13"/>
      <c r="U288" s="10">
        <v>37.095999999999997</v>
      </c>
      <c r="V288" s="2"/>
      <c r="W288" s="2" t="str">
        <f t="shared" si="70"/>
        <v>6:37:21</v>
      </c>
      <c r="X288" s="10">
        <v>7.6850000000000002E-2</v>
      </c>
      <c r="Y288" s="12">
        <f t="shared" si="75"/>
        <v>37.019149999999996</v>
      </c>
      <c r="AA288" s="10">
        <f t="shared" si="76"/>
        <v>37.019149999999996</v>
      </c>
      <c r="AB288" s="10" t="s">
        <v>90</v>
      </c>
    </row>
    <row r="289" spans="1:29" ht="15" customHeight="1" x14ac:dyDescent="0.25">
      <c r="A289">
        <v>69</v>
      </c>
      <c r="B289" t="s">
        <v>45</v>
      </c>
      <c r="C289" t="s">
        <v>46</v>
      </c>
      <c r="D289" t="s">
        <v>13</v>
      </c>
      <c r="E289" t="s">
        <v>5</v>
      </c>
      <c r="F289" s="1">
        <v>44956</v>
      </c>
      <c r="G289" s="1">
        <v>45083</v>
      </c>
      <c r="H289">
        <f t="shared" si="65"/>
        <v>127</v>
      </c>
      <c r="I289" t="s">
        <v>38</v>
      </c>
      <c r="J289">
        <v>31.5</v>
      </c>
      <c r="K289">
        <v>224</v>
      </c>
      <c r="L289">
        <v>2</v>
      </c>
      <c r="M289">
        <v>2</v>
      </c>
      <c r="N289">
        <v>2</v>
      </c>
      <c r="O289" s="2">
        <v>35.21</v>
      </c>
      <c r="P289" s="3">
        <v>1.8164</v>
      </c>
      <c r="Q289" s="4">
        <v>0.44003472222222201</v>
      </c>
      <c r="R289" s="4">
        <v>0.71597222222222223</v>
      </c>
      <c r="S289" s="2">
        <f t="shared" si="74"/>
        <v>37.095999999999997</v>
      </c>
      <c r="T289" s="13"/>
      <c r="U289" s="10">
        <v>37.095999999999997</v>
      </c>
      <c r="V289" s="2"/>
      <c r="W289" s="2" t="str">
        <f t="shared" si="70"/>
        <v>6:37:21</v>
      </c>
      <c r="X289" s="10">
        <v>7.6850000000000002E-2</v>
      </c>
      <c r="Y289" s="12">
        <f t="shared" si="75"/>
        <v>37.019149999999996</v>
      </c>
      <c r="AA289" s="10">
        <f t="shared" si="76"/>
        <v>37.019149999999996</v>
      </c>
      <c r="AB289" s="10" t="s">
        <v>90</v>
      </c>
    </row>
    <row r="290" spans="1:29" ht="15" customHeight="1" x14ac:dyDescent="0.25">
      <c r="A290">
        <v>60</v>
      </c>
      <c r="B290" t="s">
        <v>34</v>
      </c>
      <c r="C290" t="s">
        <v>35</v>
      </c>
      <c r="D290" t="s">
        <v>13</v>
      </c>
      <c r="E290" t="s">
        <v>5</v>
      </c>
      <c r="F290" s="1">
        <v>44943</v>
      </c>
      <c r="G290" s="1">
        <v>45086</v>
      </c>
      <c r="H290">
        <f t="shared" si="65"/>
        <v>143</v>
      </c>
      <c r="I290" t="s">
        <v>37</v>
      </c>
      <c r="J290">
        <v>30</v>
      </c>
      <c r="K290">
        <v>152</v>
      </c>
      <c r="L290">
        <v>2</v>
      </c>
      <c r="M290">
        <v>1</v>
      </c>
      <c r="N290">
        <v>3</v>
      </c>
      <c r="O290" s="2">
        <v>34.06</v>
      </c>
      <c r="P290" s="3">
        <v>1.5832999999999999</v>
      </c>
      <c r="Q290" s="4">
        <v>0.481793981481482</v>
      </c>
      <c r="R290" s="4">
        <v>0.73402777777777783</v>
      </c>
      <c r="S290" s="2">
        <f t="shared" si="74"/>
        <v>37.034500000000001</v>
      </c>
      <c r="T290" s="13">
        <v>37</v>
      </c>
      <c r="U290" s="10">
        <v>37.069000000000003</v>
      </c>
      <c r="V290" s="2">
        <f>U290-T290</f>
        <v>6.9000000000002615E-2</v>
      </c>
      <c r="W290" s="2" t="str">
        <f t="shared" si="70"/>
        <v>6:03:13</v>
      </c>
      <c r="X290" s="10">
        <v>2.9250000000000002E-2</v>
      </c>
      <c r="Y290" s="12">
        <f t="shared" si="75"/>
        <v>37.039750000000005</v>
      </c>
      <c r="Z290" s="10">
        <f>Y290-T290</f>
        <v>3.9750000000005059E-2</v>
      </c>
      <c r="AA290" s="10">
        <f t="shared" si="76"/>
        <v>37.019874999999999</v>
      </c>
      <c r="AB290" s="10" t="s">
        <v>90</v>
      </c>
      <c r="AC290" s="3"/>
    </row>
    <row r="291" spans="1:29" ht="15" customHeight="1" x14ac:dyDescent="0.25">
      <c r="A291">
        <v>60</v>
      </c>
      <c r="B291" t="s">
        <v>34</v>
      </c>
      <c r="C291" t="s">
        <v>35</v>
      </c>
      <c r="D291" t="s">
        <v>13</v>
      </c>
      <c r="E291" t="s">
        <v>5</v>
      </c>
      <c r="F291" s="1">
        <v>44943</v>
      </c>
      <c r="G291" s="1">
        <v>45086</v>
      </c>
      <c r="H291">
        <f t="shared" si="65"/>
        <v>143</v>
      </c>
      <c r="I291" t="s">
        <v>37</v>
      </c>
      <c r="J291">
        <v>30</v>
      </c>
      <c r="K291">
        <v>152</v>
      </c>
      <c r="L291">
        <v>2</v>
      </c>
      <c r="M291">
        <v>1</v>
      </c>
      <c r="N291">
        <v>4</v>
      </c>
      <c r="O291" s="2">
        <v>39.17</v>
      </c>
      <c r="P291" s="3">
        <v>2.3944000000000001</v>
      </c>
      <c r="Q291" s="4">
        <v>0.481793981481482</v>
      </c>
      <c r="R291" s="4">
        <v>0.73541666666666661</v>
      </c>
      <c r="S291" s="2">
        <f t="shared" si="74"/>
        <v>37.072999999999993</v>
      </c>
      <c r="T291" s="13">
        <v>37.049999999999997</v>
      </c>
      <c r="U291" s="10">
        <v>37.095999999999997</v>
      </c>
      <c r="V291" s="2">
        <f>U291-T291</f>
        <v>4.5999999999999375E-2</v>
      </c>
      <c r="W291" s="2" t="str">
        <f t="shared" si="70"/>
        <v>6:05:13</v>
      </c>
      <c r="X291" s="10">
        <v>2.9250000000000002E-2</v>
      </c>
      <c r="Y291" s="12">
        <f t="shared" si="75"/>
        <v>37.066749999999999</v>
      </c>
      <c r="Z291" s="10">
        <f>Y291-T291</f>
        <v>1.6750000000001819E-2</v>
      </c>
      <c r="AA291" s="10">
        <f t="shared" si="76"/>
        <v>37.058374999999998</v>
      </c>
      <c r="AB291" s="10" t="s">
        <v>90</v>
      </c>
      <c r="AC291" s="3"/>
    </row>
    <row r="292" spans="1:29" ht="15" customHeight="1" x14ac:dyDescent="0.25">
      <c r="A292">
        <v>89</v>
      </c>
      <c r="B292" t="s">
        <v>34</v>
      </c>
      <c r="C292" t="s">
        <v>35</v>
      </c>
      <c r="D292" t="s">
        <v>13</v>
      </c>
      <c r="E292" t="s">
        <v>5</v>
      </c>
      <c r="F292" s="1">
        <v>44967</v>
      </c>
      <c r="G292" s="1">
        <v>45083</v>
      </c>
      <c r="H292">
        <f t="shared" si="65"/>
        <v>116</v>
      </c>
      <c r="I292" t="s">
        <v>37</v>
      </c>
      <c r="J292">
        <v>30</v>
      </c>
      <c r="K292">
        <v>350</v>
      </c>
      <c r="L292">
        <v>1</v>
      </c>
      <c r="M292">
        <v>1</v>
      </c>
      <c r="N292">
        <v>4</v>
      </c>
      <c r="O292" s="2">
        <v>32.270000000000003</v>
      </c>
      <c r="P292" s="3">
        <v>1.3320000000000001</v>
      </c>
      <c r="Q292" s="4">
        <v>0.44003472222222201</v>
      </c>
      <c r="R292" s="4">
        <v>0.71388888888888891</v>
      </c>
      <c r="S292" s="2">
        <f t="shared" si="74"/>
        <v>37.069000000000003</v>
      </c>
      <c r="T292" s="13"/>
      <c r="U292" s="10">
        <v>37.069000000000003</v>
      </c>
      <c r="V292" s="2"/>
      <c r="W292" s="2" t="str">
        <f t="shared" si="70"/>
        <v>6:34:21</v>
      </c>
      <c r="X292" s="10">
        <v>7.3099999999999997E-3</v>
      </c>
      <c r="Y292" s="12">
        <f t="shared" si="75"/>
        <v>37.061690000000006</v>
      </c>
      <c r="AA292" s="10">
        <f t="shared" si="76"/>
        <v>37.061690000000006</v>
      </c>
      <c r="AB292" s="10" t="s">
        <v>90</v>
      </c>
    </row>
    <row r="293" spans="1:29" ht="15" customHeight="1" x14ac:dyDescent="0.25">
      <c r="A293">
        <v>89</v>
      </c>
      <c r="B293" t="s">
        <v>34</v>
      </c>
      <c r="C293" t="s">
        <v>35</v>
      </c>
      <c r="D293" t="s">
        <v>13</v>
      </c>
      <c r="E293" t="s">
        <v>5</v>
      </c>
      <c r="F293" s="1">
        <v>44967</v>
      </c>
      <c r="G293" s="1">
        <v>45083</v>
      </c>
      <c r="H293">
        <f t="shared" si="65"/>
        <v>116</v>
      </c>
      <c r="I293" t="s">
        <v>38</v>
      </c>
      <c r="J293">
        <v>31.5</v>
      </c>
      <c r="K293">
        <v>257</v>
      </c>
      <c r="L293">
        <v>1</v>
      </c>
      <c r="M293">
        <v>1</v>
      </c>
      <c r="N293">
        <v>2</v>
      </c>
      <c r="O293" s="2">
        <v>28.86</v>
      </c>
      <c r="P293" s="3">
        <v>1.0982000000000001</v>
      </c>
      <c r="Q293" s="4">
        <v>0.44003472222222201</v>
      </c>
      <c r="R293" s="4">
        <v>0.71388888888888891</v>
      </c>
      <c r="S293" s="2">
        <f t="shared" si="74"/>
        <v>37.069000000000003</v>
      </c>
      <c r="T293" s="13"/>
      <c r="U293" s="10">
        <v>37.069000000000003</v>
      </c>
      <c r="V293" s="2"/>
      <c r="W293" s="2" t="str">
        <f t="shared" si="70"/>
        <v>6:34:21</v>
      </c>
      <c r="X293" s="10">
        <v>7.3099999999999997E-3</v>
      </c>
      <c r="Y293" s="12">
        <f t="shared" si="75"/>
        <v>37.061690000000006</v>
      </c>
      <c r="AA293" s="10">
        <f t="shared" si="76"/>
        <v>37.061690000000006</v>
      </c>
      <c r="AB293" s="10" t="s">
        <v>90</v>
      </c>
    </row>
    <row r="294" spans="1:29" ht="15" customHeight="1" x14ac:dyDescent="0.25">
      <c r="A294">
        <v>69</v>
      </c>
      <c r="B294" t="s">
        <v>45</v>
      </c>
      <c r="C294" t="s">
        <v>46</v>
      </c>
      <c r="D294" t="s">
        <v>13</v>
      </c>
      <c r="E294" t="s">
        <v>5</v>
      </c>
      <c r="F294" s="1">
        <v>44956</v>
      </c>
      <c r="G294" s="1">
        <v>45083</v>
      </c>
      <c r="H294">
        <f t="shared" si="65"/>
        <v>127</v>
      </c>
      <c r="I294" t="s">
        <v>38</v>
      </c>
      <c r="J294">
        <v>31.5</v>
      </c>
      <c r="K294">
        <v>224</v>
      </c>
      <c r="L294">
        <v>2</v>
      </c>
      <c r="M294">
        <v>2</v>
      </c>
      <c r="N294">
        <v>1</v>
      </c>
      <c r="O294" s="2">
        <v>23.03</v>
      </c>
      <c r="P294" s="3">
        <v>0.46139999999999998</v>
      </c>
      <c r="Q294" s="4">
        <v>0.44003472222222201</v>
      </c>
      <c r="R294" s="4">
        <v>0.7270833333333333</v>
      </c>
      <c r="S294" s="2">
        <f t="shared" si="74"/>
        <v>37.11</v>
      </c>
      <c r="T294" s="13">
        <v>36.85</v>
      </c>
      <c r="U294" s="10">
        <v>37.369999999999997</v>
      </c>
      <c r="V294" s="8">
        <f>U294-T294</f>
        <v>0.51999999999999602</v>
      </c>
      <c r="W294" s="2" t="str">
        <f t="shared" si="70"/>
        <v>6:53:21</v>
      </c>
      <c r="X294" s="10">
        <v>7.6850000000000002E-2</v>
      </c>
      <c r="Y294" s="12">
        <f t="shared" si="75"/>
        <v>37.293149999999997</v>
      </c>
      <c r="Z294" s="11">
        <f>Y294-T294</f>
        <v>0.44314999999999571</v>
      </c>
      <c r="AA294" s="10">
        <f t="shared" si="76"/>
        <v>37.071574999999996</v>
      </c>
      <c r="AB294" s="10" t="s">
        <v>90</v>
      </c>
    </row>
    <row r="295" spans="1:29" ht="15" customHeight="1" x14ac:dyDescent="0.25">
      <c r="A295">
        <v>60</v>
      </c>
      <c r="B295" t="s">
        <v>34</v>
      </c>
      <c r="C295" t="s">
        <v>35</v>
      </c>
      <c r="D295" t="s">
        <v>13</v>
      </c>
      <c r="E295" t="s">
        <v>5</v>
      </c>
      <c r="F295" s="1">
        <v>44943</v>
      </c>
      <c r="G295" s="1">
        <v>45086</v>
      </c>
      <c r="H295">
        <f t="shared" si="65"/>
        <v>143</v>
      </c>
      <c r="I295" t="s">
        <v>37</v>
      </c>
      <c r="J295">
        <v>30</v>
      </c>
      <c r="K295">
        <v>152</v>
      </c>
      <c r="L295">
        <v>2</v>
      </c>
      <c r="M295">
        <v>1</v>
      </c>
      <c r="N295">
        <v>1</v>
      </c>
      <c r="O295" s="2">
        <v>32.65</v>
      </c>
      <c r="P295" s="3">
        <v>1.4182999999999999</v>
      </c>
      <c r="Q295" s="4">
        <v>0.481793981481482</v>
      </c>
      <c r="R295" s="4">
        <v>0.73541666666666661</v>
      </c>
      <c r="S295" s="2">
        <f t="shared" si="74"/>
        <v>37.097999999999999</v>
      </c>
      <c r="T295" s="13">
        <v>37.1</v>
      </c>
      <c r="U295" s="10">
        <v>37.095999999999997</v>
      </c>
      <c r="V295" s="2">
        <f>U295-T295</f>
        <v>-4.0000000000048885E-3</v>
      </c>
      <c r="W295" s="2" t="str">
        <f t="shared" si="70"/>
        <v>6:05:13</v>
      </c>
      <c r="X295" s="10">
        <v>2.9250000000000002E-2</v>
      </c>
      <c r="Y295" s="12">
        <f t="shared" si="75"/>
        <v>37.066749999999999</v>
      </c>
      <c r="Z295" s="10">
        <f>Y295-T295</f>
        <v>-3.3250000000002444E-2</v>
      </c>
      <c r="AA295" s="10">
        <f t="shared" si="76"/>
        <v>37.083375000000004</v>
      </c>
      <c r="AB295" s="10" t="s">
        <v>90</v>
      </c>
      <c r="AC295" s="3"/>
    </row>
    <row r="296" spans="1:29" ht="15" customHeight="1" x14ac:dyDescent="0.25">
      <c r="A296">
        <v>60</v>
      </c>
      <c r="B296" t="s">
        <v>34</v>
      </c>
      <c r="C296" t="s">
        <v>35</v>
      </c>
      <c r="D296" t="s">
        <v>13</v>
      </c>
      <c r="E296" t="s">
        <v>5</v>
      </c>
      <c r="F296" s="1">
        <v>44943</v>
      </c>
      <c r="G296" s="1">
        <v>45086</v>
      </c>
      <c r="H296">
        <f t="shared" si="65"/>
        <v>143</v>
      </c>
      <c r="I296" t="s">
        <v>38</v>
      </c>
      <c r="J296">
        <v>31.5</v>
      </c>
      <c r="K296">
        <v>128</v>
      </c>
      <c r="L296">
        <v>2</v>
      </c>
      <c r="M296">
        <v>1</v>
      </c>
      <c r="N296">
        <v>5</v>
      </c>
      <c r="O296" s="2">
        <v>29.72</v>
      </c>
      <c r="P296" s="3">
        <v>1.0728</v>
      </c>
      <c r="Q296" s="4">
        <v>0.481793981481482</v>
      </c>
      <c r="R296" s="4">
        <v>0.73541666666666661</v>
      </c>
      <c r="S296" s="2">
        <f t="shared" si="74"/>
        <v>37.097999999999999</v>
      </c>
      <c r="T296" s="13">
        <v>37.1</v>
      </c>
      <c r="U296" s="10">
        <v>37.095999999999997</v>
      </c>
      <c r="V296" s="2">
        <f>U296-T296</f>
        <v>-4.0000000000048885E-3</v>
      </c>
      <c r="W296" s="2" t="str">
        <f t="shared" si="70"/>
        <v>6:05:13</v>
      </c>
      <c r="X296" s="10">
        <v>2.9250000000000002E-2</v>
      </c>
      <c r="Y296" s="12">
        <f t="shared" si="75"/>
        <v>37.066749999999999</v>
      </c>
      <c r="Z296" s="10">
        <f>Y296-T296</f>
        <v>-3.3250000000002444E-2</v>
      </c>
      <c r="AA296" s="10">
        <f t="shared" si="76"/>
        <v>37.083375000000004</v>
      </c>
      <c r="AB296" s="10" t="s">
        <v>90</v>
      </c>
      <c r="AC296" s="3"/>
    </row>
    <row r="297" spans="1:29" ht="15" customHeight="1" x14ac:dyDescent="0.25">
      <c r="A297">
        <v>60</v>
      </c>
      <c r="B297" t="s">
        <v>34</v>
      </c>
      <c r="C297" t="s">
        <v>35</v>
      </c>
      <c r="D297" t="s">
        <v>13</v>
      </c>
      <c r="E297" t="s">
        <v>5</v>
      </c>
      <c r="F297" s="1">
        <v>44943</v>
      </c>
      <c r="G297" s="1">
        <v>45086</v>
      </c>
      <c r="H297">
        <f t="shared" si="65"/>
        <v>143</v>
      </c>
      <c r="I297" t="s">
        <v>38</v>
      </c>
      <c r="J297">
        <v>31.5</v>
      </c>
      <c r="K297">
        <v>128</v>
      </c>
      <c r="L297">
        <v>2</v>
      </c>
      <c r="M297">
        <v>1</v>
      </c>
      <c r="N297">
        <v>2</v>
      </c>
      <c r="O297" s="2">
        <v>36.85</v>
      </c>
      <c r="P297" s="3">
        <v>2.1991000000000001</v>
      </c>
      <c r="Q297" s="4">
        <v>0.481793981481482</v>
      </c>
      <c r="R297" s="4">
        <v>0.73749999999999993</v>
      </c>
      <c r="S297" s="2">
        <f t="shared" si="74"/>
        <v>37.112000000000002</v>
      </c>
      <c r="T297" s="13">
        <v>37.1</v>
      </c>
      <c r="U297" s="10">
        <v>37.124000000000002</v>
      </c>
      <c r="V297" s="2">
        <f>U297-T297</f>
        <v>2.4000000000000909E-2</v>
      </c>
      <c r="W297" s="2" t="str">
        <f t="shared" si="70"/>
        <v>6:08:13</v>
      </c>
      <c r="X297" s="10">
        <v>2.9250000000000002E-2</v>
      </c>
      <c r="Y297" s="12">
        <f t="shared" si="75"/>
        <v>37.094750000000005</v>
      </c>
      <c r="Z297" s="10">
        <f>Y297-T297</f>
        <v>-5.2499999999966462E-3</v>
      </c>
      <c r="AA297" s="10">
        <f t="shared" si="76"/>
        <v>37.097375</v>
      </c>
      <c r="AB297" s="10" t="s">
        <v>90</v>
      </c>
      <c r="AC297" s="3"/>
    </row>
    <row r="298" spans="1:29" ht="15" customHeight="1" x14ac:dyDescent="0.25">
      <c r="A298">
        <v>60</v>
      </c>
      <c r="B298" t="s">
        <v>34</v>
      </c>
      <c r="C298" t="s">
        <v>35</v>
      </c>
      <c r="D298" t="s">
        <v>13</v>
      </c>
      <c r="E298" t="s">
        <v>5</v>
      </c>
      <c r="F298" s="1">
        <v>44943</v>
      </c>
      <c r="G298" s="1">
        <v>45078</v>
      </c>
      <c r="H298">
        <f t="shared" si="65"/>
        <v>135</v>
      </c>
      <c r="I298" t="s">
        <v>37</v>
      </c>
      <c r="J298">
        <v>30</v>
      </c>
      <c r="K298">
        <v>152</v>
      </c>
      <c r="L298">
        <v>1</v>
      </c>
      <c r="M298">
        <v>6</v>
      </c>
      <c r="N298">
        <v>3</v>
      </c>
      <c r="O298" s="2">
        <v>35.520000000000003</v>
      </c>
      <c r="P298" s="3">
        <v>1.7292000000000001</v>
      </c>
      <c r="Q298" s="4">
        <v>0.51203703703703696</v>
      </c>
      <c r="R298" s="4">
        <v>0.77013888888888893</v>
      </c>
      <c r="S298" s="2">
        <f t="shared" si="74"/>
        <v>37.1</v>
      </c>
      <c r="T298" s="13">
        <v>37.1</v>
      </c>
      <c r="V298" s="2"/>
      <c r="W298" s="2" t="str">
        <f t="shared" si="70"/>
        <v>6:11:40</v>
      </c>
      <c r="Y298" s="12"/>
      <c r="AA298" s="10">
        <f t="shared" si="76"/>
        <v>37.1</v>
      </c>
      <c r="AB298" s="10" t="s">
        <v>90</v>
      </c>
    </row>
    <row r="299" spans="1:29" ht="15" customHeight="1" x14ac:dyDescent="0.25">
      <c r="A299">
        <v>60</v>
      </c>
      <c r="B299" t="s">
        <v>34</v>
      </c>
      <c r="C299" t="s">
        <v>35</v>
      </c>
      <c r="D299" t="s">
        <v>13</v>
      </c>
      <c r="E299" t="s">
        <v>5</v>
      </c>
      <c r="F299" s="1">
        <v>44943</v>
      </c>
      <c r="G299" s="1">
        <v>45078</v>
      </c>
      <c r="H299">
        <f t="shared" si="65"/>
        <v>135</v>
      </c>
      <c r="I299" t="s">
        <v>36</v>
      </c>
      <c r="J299">
        <v>31.5</v>
      </c>
      <c r="K299">
        <v>357</v>
      </c>
      <c r="L299">
        <v>1</v>
      </c>
      <c r="M299">
        <v>6</v>
      </c>
      <c r="N299">
        <v>5</v>
      </c>
      <c r="O299" s="2">
        <v>26.08</v>
      </c>
      <c r="P299" s="3">
        <v>0.57110000000000005</v>
      </c>
      <c r="Q299" s="4">
        <v>0.51203703703703696</v>
      </c>
      <c r="R299" s="4">
        <v>0.7680555555555556</v>
      </c>
      <c r="S299" s="2">
        <f t="shared" si="74"/>
        <v>37.1</v>
      </c>
      <c r="T299" s="13">
        <v>37.1</v>
      </c>
      <c r="V299" s="2"/>
      <c r="W299" s="2" t="str">
        <f t="shared" si="70"/>
        <v>6:08:40</v>
      </c>
      <c r="Y299" s="12"/>
      <c r="AA299" s="10">
        <f t="shared" si="76"/>
        <v>37.1</v>
      </c>
      <c r="AB299" s="10" t="s">
        <v>90</v>
      </c>
    </row>
    <row r="300" spans="1:29" ht="15" customHeight="1" x14ac:dyDescent="0.25">
      <c r="A300">
        <v>69</v>
      </c>
      <c r="B300" t="s">
        <v>45</v>
      </c>
      <c r="C300" t="s">
        <v>46</v>
      </c>
      <c r="D300" t="s">
        <v>13</v>
      </c>
      <c r="E300" t="s">
        <v>5</v>
      </c>
      <c r="F300" s="1">
        <v>44956</v>
      </c>
      <c r="G300" s="1">
        <v>45078</v>
      </c>
      <c r="H300">
        <f t="shared" si="65"/>
        <v>122</v>
      </c>
      <c r="I300" t="s">
        <v>38</v>
      </c>
      <c r="J300">
        <v>28.5</v>
      </c>
      <c r="K300">
        <v>343</v>
      </c>
      <c r="L300">
        <v>1</v>
      </c>
      <c r="M300">
        <v>5</v>
      </c>
      <c r="N300">
        <v>4</v>
      </c>
      <c r="O300" s="2">
        <v>30.39</v>
      </c>
      <c r="P300" s="3">
        <v>0.97109999999999996</v>
      </c>
      <c r="Q300" s="4">
        <v>0.51203703703703696</v>
      </c>
      <c r="R300" s="4">
        <v>0.77083333333333337</v>
      </c>
      <c r="S300" s="2">
        <f t="shared" si="74"/>
        <v>37.1</v>
      </c>
      <c r="T300" s="13">
        <v>37.1</v>
      </c>
      <c r="V300" s="2"/>
      <c r="W300" s="2" t="str">
        <f t="shared" si="70"/>
        <v>6:12:40</v>
      </c>
      <c r="Y300" s="12"/>
      <c r="AA300" s="10">
        <f t="shared" si="76"/>
        <v>37.1</v>
      </c>
      <c r="AB300" s="10" t="s">
        <v>90</v>
      </c>
    </row>
    <row r="301" spans="1:29" ht="15" customHeight="1" x14ac:dyDescent="0.25">
      <c r="A301">
        <v>69</v>
      </c>
      <c r="B301" t="s">
        <v>45</v>
      </c>
      <c r="C301" t="s">
        <v>46</v>
      </c>
      <c r="D301" t="s">
        <v>13</v>
      </c>
      <c r="E301" t="s">
        <v>5</v>
      </c>
      <c r="F301" s="1">
        <v>44956</v>
      </c>
      <c r="G301" s="1">
        <v>45078</v>
      </c>
      <c r="H301">
        <f t="shared" si="65"/>
        <v>122</v>
      </c>
      <c r="I301" t="s">
        <v>38</v>
      </c>
      <c r="J301">
        <v>28.5</v>
      </c>
      <c r="K301">
        <v>343</v>
      </c>
      <c r="L301">
        <v>1</v>
      </c>
      <c r="M301">
        <v>5</v>
      </c>
      <c r="N301">
        <v>2</v>
      </c>
      <c r="O301" s="2">
        <v>32.549999999999997</v>
      </c>
      <c r="P301" s="3">
        <v>1.2067000000000001</v>
      </c>
      <c r="Q301" s="4">
        <v>0.51203703703703696</v>
      </c>
      <c r="S301" s="2">
        <f t="shared" si="74"/>
        <v>37.1</v>
      </c>
      <c r="T301" s="13">
        <v>37.1</v>
      </c>
      <c r="V301" s="2"/>
      <c r="W301" s="2" t="e">
        <f t="shared" si="70"/>
        <v>#VALUE!</v>
      </c>
      <c r="Y301" s="12"/>
      <c r="AA301" s="10">
        <f t="shared" si="76"/>
        <v>37.1</v>
      </c>
      <c r="AB301" s="10" t="s">
        <v>90</v>
      </c>
    </row>
    <row r="302" spans="1:29" ht="15" customHeight="1" x14ac:dyDescent="0.25">
      <c r="A302">
        <v>69</v>
      </c>
      <c r="B302" t="s">
        <v>45</v>
      </c>
      <c r="C302" t="s">
        <v>46</v>
      </c>
      <c r="D302" t="s">
        <v>13</v>
      </c>
      <c r="E302" t="s">
        <v>5</v>
      </c>
      <c r="F302" s="1">
        <v>44956</v>
      </c>
      <c r="G302" s="1">
        <v>45078</v>
      </c>
      <c r="H302">
        <f t="shared" si="65"/>
        <v>122</v>
      </c>
      <c r="I302" t="s">
        <v>38</v>
      </c>
      <c r="J302">
        <v>28.5</v>
      </c>
      <c r="K302">
        <v>343</v>
      </c>
      <c r="L302">
        <v>1</v>
      </c>
      <c r="M302">
        <v>5</v>
      </c>
      <c r="N302">
        <v>5</v>
      </c>
      <c r="O302" s="2">
        <v>33.950000000000003</v>
      </c>
      <c r="P302" s="3">
        <v>1.4866999999999999</v>
      </c>
      <c r="Q302" s="4">
        <v>0.51203703703703696</v>
      </c>
      <c r="S302" s="2">
        <f t="shared" si="74"/>
        <v>37.1</v>
      </c>
      <c r="T302" s="13">
        <v>37.1</v>
      </c>
      <c r="V302" s="2"/>
      <c r="W302" s="2" t="e">
        <f t="shared" si="70"/>
        <v>#VALUE!</v>
      </c>
      <c r="Y302" s="12"/>
      <c r="AA302" s="10">
        <f t="shared" si="76"/>
        <v>37.1</v>
      </c>
      <c r="AB302" s="10" t="s">
        <v>90</v>
      </c>
    </row>
    <row r="303" spans="1:29" ht="15" customHeight="1" x14ac:dyDescent="0.25">
      <c r="A303">
        <v>89</v>
      </c>
      <c r="B303" t="s">
        <v>34</v>
      </c>
      <c r="C303" t="s">
        <v>35</v>
      </c>
      <c r="D303" t="s">
        <v>13</v>
      </c>
      <c r="E303" t="s">
        <v>5</v>
      </c>
      <c r="F303" s="6">
        <v>44967</v>
      </c>
      <c r="G303" s="1">
        <v>45078</v>
      </c>
      <c r="H303">
        <f t="shared" si="65"/>
        <v>111</v>
      </c>
      <c r="I303" t="s">
        <v>38</v>
      </c>
      <c r="J303">
        <v>28.5</v>
      </c>
      <c r="K303">
        <v>138</v>
      </c>
      <c r="L303">
        <v>2</v>
      </c>
      <c r="M303">
        <v>3</v>
      </c>
      <c r="N303">
        <v>1</v>
      </c>
      <c r="O303" s="2">
        <v>26.74</v>
      </c>
      <c r="P303" s="3">
        <v>0.68899999999999995</v>
      </c>
      <c r="Q303" s="4">
        <v>0.51203703703703696</v>
      </c>
      <c r="R303" s="4">
        <v>0.76597222222222217</v>
      </c>
      <c r="S303" s="2">
        <f t="shared" si="74"/>
        <v>37.1</v>
      </c>
      <c r="T303" s="13">
        <v>37.1</v>
      </c>
      <c r="V303" s="2"/>
      <c r="W303" s="2" t="str">
        <f t="shared" si="70"/>
        <v>6:05:40</v>
      </c>
      <c r="Y303" s="12"/>
      <c r="AA303" s="10">
        <f t="shared" si="76"/>
        <v>37.1</v>
      </c>
      <c r="AB303" s="10" t="s">
        <v>90</v>
      </c>
    </row>
    <row r="304" spans="1:29" ht="15" customHeight="1" x14ac:dyDescent="0.25">
      <c r="A304">
        <v>89</v>
      </c>
      <c r="B304" t="s">
        <v>34</v>
      </c>
      <c r="C304" t="s">
        <v>35</v>
      </c>
      <c r="D304" t="s">
        <v>13</v>
      </c>
      <c r="E304" t="s">
        <v>5</v>
      </c>
      <c r="F304" s="6">
        <v>44967</v>
      </c>
      <c r="G304" s="1">
        <v>45078</v>
      </c>
      <c r="H304">
        <f t="shared" si="65"/>
        <v>111</v>
      </c>
      <c r="I304" t="s">
        <v>38</v>
      </c>
      <c r="J304">
        <v>28.5</v>
      </c>
      <c r="K304">
        <v>138</v>
      </c>
      <c r="L304">
        <v>2</v>
      </c>
      <c r="M304">
        <v>3</v>
      </c>
      <c r="N304">
        <v>4</v>
      </c>
      <c r="O304" s="2">
        <v>30.04</v>
      </c>
      <c r="P304" s="3">
        <v>0.9012</v>
      </c>
      <c r="Q304" s="4">
        <v>0.51203703703703696</v>
      </c>
      <c r="R304" s="4">
        <v>0.76944444444444438</v>
      </c>
      <c r="S304" s="2">
        <f t="shared" si="74"/>
        <v>37.1</v>
      </c>
      <c r="T304" s="13">
        <v>37.1</v>
      </c>
      <c r="V304" s="2"/>
      <c r="W304" s="2" t="str">
        <f t="shared" ref="W304:W335" si="77">TEXT(R304-Q304,"h:mm:ss")</f>
        <v>6:10:40</v>
      </c>
      <c r="Y304" s="12"/>
      <c r="AA304" s="10">
        <f t="shared" si="76"/>
        <v>37.1</v>
      </c>
      <c r="AB304" s="10" t="s">
        <v>90</v>
      </c>
    </row>
    <row r="305" spans="1:29" ht="15" customHeight="1" x14ac:dyDescent="0.25">
      <c r="A305">
        <v>89</v>
      </c>
      <c r="B305" t="s">
        <v>34</v>
      </c>
      <c r="C305" t="s">
        <v>35</v>
      </c>
      <c r="D305" t="s">
        <v>13</v>
      </c>
      <c r="E305" t="s">
        <v>5</v>
      </c>
      <c r="F305" s="6">
        <v>44967</v>
      </c>
      <c r="G305" s="1">
        <v>45078</v>
      </c>
      <c r="H305">
        <f t="shared" si="65"/>
        <v>111</v>
      </c>
      <c r="I305" t="s">
        <v>38</v>
      </c>
      <c r="J305">
        <v>28.5</v>
      </c>
      <c r="K305">
        <v>138</v>
      </c>
      <c r="L305">
        <v>2</v>
      </c>
      <c r="M305">
        <v>3</v>
      </c>
      <c r="N305">
        <v>2</v>
      </c>
      <c r="O305" s="2">
        <v>29.14</v>
      </c>
      <c r="P305" s="3">
        <v>0.92569999999999997</v>
      </c>
      <c r="Q305" s="4">
        <v>0.51203703703703696</v>
      </c>
      <c r="R305" s="4">
        <v>0.76944444444444438</v>
      </c>
      <c r="S305" s="2">
        <f t="shared" si="74"/>
        <v>37.1</v>
      </c>
      <c r="T305" s="13">
        <v>37.1</v>
      </c>
      <c r="V305" s="2"/>
      <c r="W305" s="2" t="str">
        <f t="shared" si="77"/>
        <v>6:10:40</v>
      </c>
      <c r="Y305" s="12"/>
      <c r="AA305" s="10">
        <f t="shared" si="76"/>
        <v>37.1</v>
      </c>
      <c r="AB305" s="10" t="s">
        <v>90</v>
      </c>
    </row>
    <row r="306" spans="1:29" ht="15" customHeight="1" x14ac:dyDescent="0.25">
      <c r="A306">
        <v>89</v>
      </c>
      <c r="B306" t="s">
        <v>34</v>
      </c>
      <c r="C306" t="s">
        <v>35</v>
      </c>
      <c r="D306" t="s">
        <v>13</v>
      </c>
      <c r="E306" t="s">
        <v>5</v>
      </c>
      <c r="F306" s="6">
        <v>44967</v>
      </c>
      <c r="G306" s="1">
        <v>45078</v>
      </c>
      <c r="H306">
        <f t="shared" si="65"/>
        <v>111</v>
      </c>
      <c r="I306" t="s">
        <v>38</v>
      </c>
      <c r="J306">
        <v>28.5</v>
      </c>
      <c r="K306">
        <v>138</v>
      </c>
      <c r="L306">
        <v>2</v>
      </c>
      <c r="M306">
        <v>3</v>
      </c>
      <c r="N306">
        <v>5</v>
      </c>
      <c r="O306" s="2">
        <v>29.87</v>
      </c>
      <c r="P306" s="3">
        <v>0.98699999999999999</v>
      </c>
      <c r="Q306" s="4">
        <v>0.51203703703703696</v>
      </c>
      <c r="S306" s="2">
        <f t="shared" si="74"/>
        <v>37.1</v>
      </c>
      <c r="T306" s="13">
        <v>37.1</v>
      </c>
      <c r="V306" s="2"/>
      <c r="W306" s="2" t="e">
        <f t="shared" si="77"/>
        <v>#VALUE!</v>
      </c>
      <c r="Y306" s="12"/>
      <c r="AA306" s="10">
        <f t="shared" si="76"/>
        <v>37.1</v>
      </c>
      <c r="AB306" s="10" t="s">
        <v>90</v>
      </c>
    </row>
    <row r="307" spans="1:29" ht="15" customHeight="1" x14ac:dyDescent="0.25">
      <c r="A307">
        <v>89</v>
      </c>
      <c r="B307" t="s">
        <v>34</v>
      </c>
      <c r="C307" t="s">
        <v>35</v>
      </c>
      <c r="D307" t="s">
        <v>13</v>
      </c>
      <c r="E307" t="s">
        <v>5</v>
      </c>
      <c r="F307" s="1">
        <v>44967</v>
      </c>
      <c r="G307" s="1">
        <v>45093</v>
      </c>
      <c r="H307">
        <f t="shared" si="65"/>
        <v>126</v>
      </c>
      <c r="J307">
        <v>28.5</v>
      </c>
      <c r="K307">
        <v>246</v>
      </c>
      <c r="L307">
        <v>1</v>
      </c>
      <c r="O307" s="2">
        <v>33.590000000000003</v>
      </c>
      <c r="P307" s="3">
        <v>1.4248000000000001</v>
      </c>
      <c r="Q307" s="4">
        <v>0.5</v>
      </c>
      <c r="R307" s="4">
        <v>0.75347222222222221</v>
      </c>
      <c r="S307" s="2"/>
      <c r="T307" s="13"/>
      <c r="V307" s="10"/>
      <c r="W307" s="2" t="str">
        <f t="shared" si="77"/>
        <v>6:05:00</v>
      </c>
      <c r="Y307" s="12"/>
      <c r="AA307" s="10">
        <v>37.1</v>
      </c>
      <c r="AB307" s="10" t="s">
        <v>91</v>
      </c>
    </row>
    <row r="308" spans="1:29" ht="15" customHeight="1" x14ac:dyDescent="0.25">
      <c r="A308">
        <v>89</v>
      </c>
      <c r="B308" t="s">
        <v>34</v>
      </c>
      <c r="C308" t="s">
        <v>35</v>
      </c>
      <c r="D308" t="s">
        <v>13</v>
      </c>
      <c r="E308" t="s">
        <v>5</v>
      </c>
      <c r="F308" s="6">
        <v>44967</v>
      </c>
      <c r="G308" s="1">
        <v>45078</v>
      </c>
      <c r="H308">
        <f t="shared" si="65"/>
        <v>111</v>
      </c>
      <c r="I308" t="s">
        <v>37</v>
      </c>
      <c r="J308">
        <v>30</v>
      </c>
      <c r="K308">
        <v>132</v>
      </c>
      <c r="L308">
        <v>2</v>
      </c>
      <c r="M308">
        <v>3</v>
      </c>
      <c r="N308">
        <v>2</v>
      </c>
      <c r="O308" s="2">
        <v>32.450000000000003</v>
      </c>
      <c r="P308" s="3">
        <v>1.1714</v>
      </c>
      <c r="Q308" s="4">
        <v>0.51203703703703696</v>
      </c>
      <c r="R308" s="4">
        <v>0.76527777777777783</v>
      </c>
      <c r="S308" s="2">
        <f>AVERAGE(T308:U308)</f>
        <v>37.1</v>
      </c>
      <c r="T308" s="13">
        <v>37.1</v>
      </c>
      <c r="V308" s="2"/>
      <c r="W308" s="2" t="str">
        <f t="shared" si="77"/>
        <v>6:04:40</v>
      </c>
      <c r="Y308" s="12"/>
      <c r="AA308" s="10">
        <f>AVERAGE(Y308,T308)</f>
        <v>37.1</v>
      </c>
      <c r="AB308" s="10" t="s">
        <v>90</v>
      </c>
    </row>
    <row r="309" spans="1:29" ht="15" customHeight="1" x14ac:dyDescent="0.25">
      <c r="A309">
        <v>89</v>
      </c>
      <c r="B309" t="s">
        <v>34</v>
      </c>
      <c r="C309" t="s">
        <v>35</v>
      </c>
      <c r="D309" t="s">
        <v>13</v>
      </c>
      <c r="E309" t="s">
        <v>5</v>
      </c>
      <c r="F309" s="6">
        <v>44967</v>
      </c>
      <c r="G309" s="1">
        <v>45078</v>
      </c>
      <c r="H309">
        <f t="shared" si="65"/>
        <v>111</v>
      </c>
      <c r="I309" t="s">
        <v>37</v>
      </c>
      <c r="J309">
        <v>30</v>
      </c>
      <c r="K309">
        <v>132</v>
      </c>
      <c r="L309">
        <v>2</v>
      </c>
      <c r="M309">
        <v>3</v>
      </c>
      <c r="N309">
        <v>4</v>
      </c>
      <c r="O309" s="2">
        <v>36.42</v>
      </c>
      <c r="P309" s="3">
        <v>1.7766999999999999</v>
      </c>
      <c r="Q309" s="4">
        <v>0.51203703703703696</v>
      </c>
      <c r="R309" s="4">
        <v>0.76944444444444438</v>
      </c>
      <c r="S309" s="2">
        <f>AVERAGE(T309:U309)</f>
        <v>37.1</v>
      </c>
      <c r="T309" s="13">
        <v>37.1</v>
      </c>
      <c r="V309" s="2"/>
      <c r="W309" s="2" t="str">
        <f t="shared" si="77"/>
        <v>6:10:40</v>
      </c>
      <c r="Y309" s="12"/>
      <c r="AA309" s="10">
        <f>AVERAGE(Y309,T309)</f>
        <v>37.1</v>
      </c>
      <c r="AB309" s="10" t="s">
        <v>90</v>
      </c>
    </row>
    <row r="310" spans="1:29" ht="15" customHeight="1" x14ac:dyDescent="0.25">
      <c r="A310">
        <v>89</v>
      </c>
      <c r="B310" t="s">
        <v>34</v>
      </c>
      <c r="C310" t="s">
        <v>35</v>
      </c>
      <c r="D310" t="s">
        <v>13</v>
      </c>
      <c r="E310" t="s">
        <v>5</v>
      </c>
      <c r="F310" s="6">
        <v>44967</v>
      </c>
      <c r="G310" s="1">
        <v>45078</v>
      </c>
      <c r="H310">
        <f t="shared" si="65"/>
        <v>111</v>
      </c>
      <c r="I310" t="s">
        <v>37</v>
      </c>
      <c r="J310">
        <v>30</v>
      </c>
      <c r="K310">
        <v>132</v>
      </c>
      <c r="L310">
        <v>2</v>
      </c>
      <c r="M310">
        <v>3</v>
      </c>
      <c r="N310">
        <v>5</v>
      </c>
      <c r="O310" s="2">
        <v>41.43</v>
      </c>
      <c r="P310" s="3">
        <v>2.1825999999999999</v>
      </c>
      <c r="Q310" s="4">
        <v>0.51203703703703696</v>
      </c>
      <c r="S310" s="2">
        <f>AVERAGE(T310:U310)</f>
        <v>37.1</v>
      </c>
      <c r="T310" s="13">
        <v>37.1</v>
      </c>
      <c r="V310" s="2"/>
      <c r="W310" s="2" t="e">
        <f t="shared" si="77"/>
        <v>#VALUE!</v>
      </c>
      <c r="Y310" s="12"/>
      <c r="AA310" s="10">
        <f>AVERAGE(Y310,T310)</f>
        <v>37.1</v>
      </c>
      <c r="AB310" s="10" t="s">
        <v>90</v>
      </c>
    </row>
    <row r="311" spans="1:29" ht="15" customHeight="1" x14ac:dyDescent="0.25">
      <c r="A311">
        <v>89</v>
      </c>
      <c r="B311" t="s">
        <v>34</v>
      </c>
      <c r="C311" t="s">
        <v>35</v>
      </c>
      <c r="D311" t="s">
        <v>13</v>
      </c>
      <c r="E311" t="s">
        <v>5</v>
      </c>
      <c r="F311" s="6">
        <v>44967</v>
      </c>
      <c r="G311" s="1">
        <v>45078</v>
      </c>
      <c r="H311">
        <f t="shared" si="65"/>
        <v>111</v>
      </c>
      <c r="I311" t="s">
        <v>37</v>
      </c>
      <c r="J311">
        <v>30</v>
      </c>
      <c r="K311">
        <v>132</v>
      </c>
      <c r="L311">
        <v>2</v>
      </c>
      <c r="M311">
        <v>3</v>
      </c>
      <c r="N311">
        <v>1</v>
      </c>
      <c r="O311" s="2">
        <v>42.88</v>
      </c>
      <c r="P311" s="3">
        <v>2.6554000000000002</v>
      </c>
      <c r="Q311" s="4">
        <v>0.51203703703703696</v>
      </c>
      <c r="S311" s="2">
        <f>AVERAGE(T311:U311)</f>
        <v>37.1</v>
      </c>
      <c r="T311" s="13">
        <v>37.1</v>
      </c>
      <c r="V311" s="2"/>
      <c r="W311" s="2" t="e">
        <f t="shared" si="77"/>
        <v>#VALUE!</v>
      </c>
      <c r="Y311" s="12"/>
      <c r="AA311" s="10">
        <f>AVERAGE(Y311,T311)</f>
        <v>37.1</v>
      </c>
      <c r="AB311" s="10" t="s">
        <v>90</v>
      </c>
    </row>
    <row r="312" spans="1:29" ht="15" customHeight="1" x14ac:dyDescent="0.25">
      <c r="A312">
        <v>60</v>
      </c>
      <c r="B312" t="s">
        <v>34</v>
      </c>
      <c r="C312" t="s">
        <v>35</v>
      </c>
      <c r="D312" t="s">
        <v>13</v>
      </c>
      <c r="E312" t="s">
        <v>5</v>
      </c>
      <c r="F312" s="1">
        <v>44943</v>
      </c>
      <c r="G312" s="1">
        <v>45083</v>
      </c>
      <c r="H312">
        <f t="shared" si="65"/>
        <v>140</v>
      </c>
      <c r="J312">
        <v>31.5</v>
      </c>
      <c r="K312">
        <v>128</v>
      </c>
      <c r="L312">
        <v>2</v>
      </c>
      <c r="O312" s="2">
        <v>28.33</v>
      </c>
      <c r="P312" s="3">
        <v>0.85760000000000003</v>
      </c>
      <c r="Q312" s="4">
        <v>0.44003472222222201</v>
      </c>
      <c r="R312" s="4">
        <v>0.7104166666666667</v>
      </c>
      <c r="S312" s="2"/>
      <c r="T312" s="13"/>
      <c r="V312" s="10"/>
      <c r="W312" s="2" t="str">
        <f t="shared" si="77"/>
        <v>6:29:21</v>
      </c>
      <c r="Y312" s="12"/>
      <c r="AA312" s="10">
        <v>37.130000000000003</v>
      </c>
      <c r="AB312" s="10" t="s">
        <v>91</v>
      </c>
      <c r="AC312" s="3"/>
    </row>
    <row r="313" spans="1:29" ht="15" customHeight="1" x14ac:dyDescent="0.25">
      <c r="A313">
        <v>69</v>
      </c>
      <c r="B313" t="s">
        <v>45</v>
      </c>
      <c r="C313" t="s">
        <v>46</v>
      </c>
      <c r="D313" t="s">
        <v>13</v>
      </c>
      <c r="E313" t="s">
        <v>5</v>
      </c>
      <c r="F313" s="1">
        <v>44956</v>
      </c>
      <c r="G313" s="1">
        <v>45083</v>
      </c>
      <c r="H313">
        <f t="shared" si="65"/>
        <v>127</v>
      </c>
      <c r="J313">
        <v>30</v>
      </c>
      <c r="K313">
        <v>129</v>
      </c>
      <c r="L313">
        <v>2</v>
      </c>
      <c r="O313" s="2">
        <v>27.95</v>
      </c>
      <c r="P313" s="3">
        <v>0.85329999999999995</v>
      </c>
      <c r="Q313" s="4">
        <v>0.44003472222222201</v>
      </c>
      <c r="R313" s="4">
        <v>0.71319444444444446</v>
      </c>
      <c r="S313" s="2"/>
      <c r="T313" s="13"/>
      <c r="V313" s="10"/>
      <c r="W313" s="2" t="str">
        <f t="shared" si="77"/>
        <v>6:33:21</v>
      </c>
      <c r="Y313" s="12"/>
      <c r="AA313" s="10">
        <v>37.130000000000003</v>
      </c>
      <c r="AB313" s="10" t="s">
        <v>91</v>
      </c>
    </row>
    <row r="314" spans="1:29" ht="15" customHeight="1" x14ac:dyDescent="0.25">
      <c r="A314">
        <v>69</v>
      </c>
      <c r="B314" t="s">
        <v>45</v>
      </c>
      <c r="C314" t="s">
        <v>46</v>
      </c>
      <c r="D314" t="s">
        <v>13</v>
      </c>
      <c r="E314" t="s">
        <v>5</v>
      </c>
      <c r="F314" s="1">
        <v>44956</v>
      </c>
      <c r="G314" s="1">
        <v>45083</v>
      </c>
      <c r="H314">
        <f t="shared" si="65"/>
        <v>127</v>
      </c>
      <c r="J314">
        <v>30</v>
      </c>
      <c r="K314">
        <v>129</v>
      </c>
      <c r="L314">
        <v>2</v>
      </c>
      <c r="O314" s="2">
        <v>32.729999999999997</v>
      </c>
      <c r="P314" s="3">
        <v>1.3666</v>
      </c>
      <c r="Q314" s="4">
        <v>0.44003472222222201</v>
      </c>
      <c r="R314" s="4">
        <v>0.71180555555555547</v>
      </c>
      <c r="S314" s="2"/>
      <c r="T314" s="13"/>
      <c r="V314" s="10"/>
      <c r="W314" s="2" t="str">
        <f t="shared" si="77"/>
        <v>6:31:21</v>
      </c>
      <c r="Y314" s="12"/>
      <c r="AA314" s="10">
        <v>37.130000000000003</v>
      </c>
      <c r="AB314" s="10" t="s">
        <v>91</v>
      </c>
    </row>
    <row r="315" spans="1:29" ht="15" customHeight="1" x14ac:dyDescent="0.25">
      <c r="A315">
        <v>60</v>
      </c>
      <c r="B315" t="s">
        <v>34</v>
      </c>
      <c r="C315" t="s">
        <v>35</v>
      </c>
      <c r="D315" t="s">
        <v>13</v>
      </c>
      <c r="E315" t="s">
        <v>5</v>
      </c>
      <c r="F315" s="1">
        <v>44943</v>
      </c>
      <c r="G315" s="1">
        <v>45078</v>
      </c>
      <c r="H315">
        <f t="shared" si="65"/>
        <v>135</v>
      </c>
      <c r="J315">
        <v>30</v>
      </c>
      <c r="K315">
        <v>152</v>
      </c>
      <c r="L315">
        <v>1</v>
      </c>
      <c r="O315" s="2">
        <v>32.549999999999997</v>
      </c>
      <c r="P315" s="3">
        <v>1.2987</v>
      </c>
      <c r="Q315" s="4">
        <v>0.51203703703703696</v>
      </c>
      <c r="R315" s="4">
        <v>0.7729166666666667</v>
      </c>
      <c r="S315" s="2"/>
      <c r="T315" s="13"/>
      <c r="V315" s="10"/>
      <c r="W315" s="2" t="str">
        <f t="shared" si="77"/>
        <v>6:15:40</v>
      </c>
      <c r="Y315" s="12"/>
      <c r="AA315" s="10">
        <v>37.14</v>
      </c>
      <c r="AB315" s="10" t="s">
        <v>91</v>
      </c>
    </row>
    <row r="316" spans="1:29" ht="15" customHeight="1" x14ac:dyDescent="0.25">
      <c r="A316">
        <v>60</v>
      </c>
      <c r="B316" t="s">
        <v>34</v>
      </c>
      <c r="C316" t="s">
        <v>35</v>
      </c>
      <c r="D316" t="s">
        <v>13</v>
      </c>
      <c r="E316" t="s">
        <v>5</v>
      </c>
      <c r="F316" s="1">
        <v>44943</v>
      </c>
      <c r="G316" s="1">
        <v>45086</v>
      </c>
      <c r="H316">
        <f t="shared" si="65"/>
        <v>143</v>
      </c>
      <c r="I316" t="s">
        <v>38</v>
      </c>
      <c r="J316">
        <v>31.5</v>
      </c>
      <c r="K316">
        <v>128</v>
      </c>
      <c r="L316">
        <v>2</v>
      </c>
      <c r="M316">
        <v>1</v>
      </c>
      <c r="N316">
        <v>3</v>
      </c>
      <c r="O316" s="2">
        <v>29.37</v>
      </c>
      <c r="P316" s="3">
        <v>0.99529999999999996</v>
      </c>
      <c r="Q316" s="4">
        <v>0.481793981481482</v>
      </c>
      <c r="R316" s="4">
        <v>0.7402777777777777</v>
      </c>
      <c r="S316" s="2">
        <f>AVERAGE(T316:U316)</f>
        <v>37.164000000000001</v>
      </c>
      <c r="T316" s="13">
        <v>37.15</v>
      </c>
      <c r="U316" s="10">
        <v>37.177999999999997</v>
      </c>
      <c r="V316" s="2">
        <f>U316-T316</f>
        <v>2.7999999999998693E-2</v>
      </c>
      <c r="W316" s="2" t="str">
        <f t="shared" si="77"/>
        <v>6:12:13</v>
      </c>
      <c r="X316" s="10">
        <v>2.9250000000000002E-2</v>
      </c>
      <c r="Y316" s="12">
        <f>U316-X316</f>
        <v>37.14875</v>
      </c>
      <c r="Z316" s="10">
        <f>Y316-T316</f>
        <v>-1.2499999999988631E-3</v>
      </c>
      <c r="AA316" s="10">
        <f>AVERAGE(Y316,T316)</f>
        <v>37.149374999999999</v>
      </c>
      <c r="AB316" s="10" t="s">
        <v>90</v>
      </c>
    </row>
    <row r="317" spans="1:29" ht="15" customHeight="1" x14ac:dyDescent="0.25">
      <c r="A317">
        <v>89</v>
      </c>
      <c r="B317" t="s">
        <v>34</v>
      </c>
      <c r="C317" t="s">
        <v>35</v>
      </c>
      <c r="D317" t="s">
        <v>13</v>
      </c>
      <c r="E317" t="s">
        <v>5</v>
      </c>
      <c r="F317" s="1">
        <v>44967</v>
      </c>
      <c r="G317" s="1">
        <v>45083</v>
      </c>
      <c r="H317">
        <f t="shared" si="65"/>
        <v>116</v>
      </c>
      <c r="I317" t="s">
        <v>37</v>
      </c>
      <c r="J317">
        <v>30</v>
      </c>
      <c r="K317">
        <v>350</v>
      </c>
      <c r="L317">
        <v>1</v>
      </c>
      <c r="M317">
        <v>1</v>
      </c>
      <c r="N317">
        <v>2</v>
      </c>
      <c r="O317" s="2">
        <v>30.07</v>
      </c>
      <c r="P317" s="3">
        <v>1.0707</v>
      </c>
      <c r="Q317" s="4">
        <v>0.44003472222222201</v>
      </c>
      <c r="R317" s="4">
        <v>0.71805555555555556</v>
      </c>
      <c r="S317" s="2">
        <f>AVERAGE(T317:U317)</f>
        <v>37.206000000000003</v>
      </c>
      <c r="T317" s="13"/>
      <c r="U317" s="10">
        <v>37.206000000000003</v>
      </c>
      <c r="V317" s="2"/>
      <c r="W317" s="2" t="str">
        <f t="shared" si="77"/>
        <v>6:40:21</v>
      </c>
      <c r="X317" s="10">
        <v>7.3099999999999997E-3</v>
      </c>
      <c r="Y317" s="12">
        <f>U317-X317</f>
        <v>37.198690000000006</v>
      </c>
      <c r="AA317" s="10">
        <f>AVERAGE(Y317,T317)</f>
        <v>37.198690000000006</v>
      </c>
      <c r="AB317" s="10" t="s">
        <v>90</v>
      </c>
    </row>
    <row r="318" spans="1:29" ht="15" customHeight="1" x14ac:dyDescent="0.25">
      <c r="A318">
        <v>89</v>
      </c>
      <c r="B318" t="s">
        <v>34</v>
      </c>
      <c r="C318" t="s">
        <v>35</v>
      </c>
      <c r="D318" t="s">
        <v>13</v>
      </c>
      <c r="E318" t="s">
        <v>5</v>
      </c>
      <c r="F318" s="1">
        <v>44967</v>
      </c>
      <c r="G318" s="1">
        <v>45083</v>
      </c>
      <c r="H318">
        <f t="shared" si="65"/>
        <v>116</v>
      </c>
      <c r="I318" t="s">
        <v>38</v>
      </c>
      <c r="J318">
        <v>31.5</v>
      </c>
      <c r="K318">
        <v>257</v>
      </c>
      <c r="L318">
        <v>1</v>
      </c>
      <c r="M318">
        <v>1</v>
      </c>
      <c r="N318">
        <v>3</v>
      </c>
      <c r="O318" s="2">
        <v>30.86</v>
      </c>
      <c r="P318" s="3">
        <v>1.2609999999999999</v>
      </c>
      <c r="Q318" s="4">
        <v>0.44003472222222201</v>
      </c>
      <c r="R318" s="4">
        <v>0.71805555555555556</v>
      </c>
      <c r="S318" s="2">
        <f>AVERAGE(T318:U318)</f>
        <v>37.206000000000003</v>
      </c>
      <c r="T318" s="13"/>
      <c r="U318" s="10">
        <v>37.206000000000003</v>
      </c>
      <c r="V318" s="2"/>
      <c r="W318" s="2" t="str">
        <f t="shared" si="77"/>
        <v>6:40:21</v>
      </c>
      <c r="X318" s="10">
        <v>7.3099999999999997E-3</v>
      </c>
      <c r="Y318" s="12">
        <f>U318-X318</f>
        <v>37.198690000000006</v>
      </c>
      <c r="AA318" s="10">
        <f>AVERAGE(Y318,T318)</f>
        <v>37.198690000000006</v>
      </c>
      <c r="AB318" s="10" t="s">
        <v>90</v>
      </c>
    </row>
    <row r="319" spans="1:29" ht="15" customHeight="1" x14ac:dyDescent="0.25">
      <c r="A319">
        <v>60</v>
      </c>
      <c r="B319" t="s">
        <v>34</v>
      </c>
      <c r="C319" t="s">
        <v>35</v>
      </c>
      <c r="D319" t="s">
        <v>13</v>
      </c>
      <c r="E319" t="s">
        <v>5</v>
      </c>
      <c r="F319" s="1">
        <v>44943</v>
      </c>
      <c r="G319" s="1">
        <v>45078</v>
      </c>
      <c r="H319">
        <f t="shared" si="65"/>
        <v>135</v>
      </c>
      <c r="J319">
        <v>30</v>
      </c>
      <c r="K319">
        <v>152</v>
      </c>
      <c r="L319">
        <v>1</v>
      </c>
      <c r="O319" s="2">
        <v>36.19</v>
      </c>
      <c r="P319" s="3">
        <v>1.6823999999999999</v>
      </c>
      <c r="Q319" s="4">
        <v>0.51203703703703696</v>
      </c>
      <c r="R319" s="4">
        <v>0.7715277777777777</v>
      </c>
      <c r="S319" s="2"/>
      <c r="T319" s="13"/>
      <c r="V319" s="10"/>
      <c r="W319" s="2" t="str">
        <f t="shared" si="77"/>
        <v>6:13:40</v>
      </c>
      <c r="Y319" s="12"/>
      <c r="AA319" s="10">
        <v>37.200000000000003</v>
      </c>
      <c r="AB319" s="10" t="s">
        <v>91</v>
      </c>
    </row>
    <row r="320" spans="1:29" ht="15" customHeight="1" x14ac:dyDescent="0.25">
      <c r="A320">
        <v>89</v>
      </c>
      <c r="B320" t="s">
        <v>34</v>
      </c>
      <c r="C320" t="s">
        <v>35</v>
      </c>
      <c r="D320" t="s">
        <v>13</v>
      </c>
      <c r="E320" t="s">
        <v>5</v>
      </c>
      <c r="F320" s="6">
        <v>44967</v>
      </c>
      <c r="G320" s="1">
        <v>45078</v>
      </c>
      <c r="H320">
        <f t="shared" si="65"/>
        <v>111</v>
      </c>
      <c r="I320" t="s">
        <v>38</v>
      </c>
      <c r="J320">
        <v>28.5</v>
      </c>
      <c r="K320">
        <v>138</v>
      </c>
      <c r="L320">
        <v>2</v>
      </c>
      <c r="M320">
        <v>3</v>
      </c>
      <c r="N320">
        <v>3</v>
      </c>
      <c r="O320" s="2">
        <v>35.47</v>
      </c>
      <c r="P320" s="3">
        <v>1.5531999999999999</v>
      </c>
      <c r="Q320" s="4">
        <v>0.51203703703703696</v>
      </c>
      <c r="S320" s="2">
        <f>AVERAGE(T320:U320)</f>
        <v>37.200000000000003</v>
      </c>
      <c r="T320" s="13">
        <v>37.200000000000003</v>
      </c>
      <c r="V320" s="2"/>
      <c r="W320" s="2" t="e">
        <f t="shared" si="77"/>
        <v>#VALUE!</v>
      </c>
      <c r="Y320" s="12"/>
      <c r="AA320" s="10">
        <f>AVERAGE(Y320,T320)</f>
        <v>37.200000000000003</v>
      </c>
      <c r="AB320" s="10" t="s">
        <v>90</v>
      </c>
    </row>
    <row r="321" spans="1:29" ht="15" customHeight="1" x14ac:dyDescent="0.25">
      <c r="A321">
        <v>89</v>
      </c>
      <c r="B321" t="s">
        <v>34</v>
      </c>
      <c r="C321" t="s">
        <v>35</v>
      </c>
      <c r="D321" t="s">
        <v>13</v>
      </c>
      <c r="E321" t="s">
        <v>5</v>
      </c>
      <c r="F321" s="6">
        <v>44967</v>
      </c>
      <c r="G321" s="1">
        <v>45086</v>
      </c>
      <c r="H321">
        <f t="shared" si="65"/>
        <v>119</v>
      </c>
      <c r="J321">
        <v>30</v>
      </c>
      <c r="K321">
        <v>132</v>
      </c>
      <c r="L321">
        <v>2</v>
      </c>
      <c r="O321" s="2">
        <v>37.9</v>
      </c>
      <c r="P321" s="3">
        <v>1.9503999999999999</v>
      </c>
      <c r="Q321" s="4">
        <v>0.481793981481482</v>
      </c>
      <c r="R321" s="4">
        <v>0.74097222222222225</v>
      </c>
      <c r="S321" s="2"/>
      <c r="T321" s="13"/>
      <c r="V321" s="2"/>
      <c r="W321" s="2" t="str">
        <f t="shared" si="77"/>
        <v>6:13:13</v>
      </c>
      <c r="Y321" s="12"/>
      <c r="AA321" s="10">
        <v>37.22</v>
      </c>
      <c r="AB321" s="10" t="s">
        <v>91</v>
      </c>
    </row>
    <row r="322" spans="1:29" ht="15" customHeight="1" x14ac:dyDescent="0.25">
      <c r="A322">
        <v>89</v>
      </c>
      <c r="B322" t="s">
        <v>34</v>
      </c>
      <c r="C322" t="s">
        <v>35</v>
      </c>
      <c r="D322" t="s">
        <v>13</v>
      </c>
      <c r="E322" t="s">
        <v>5</v>
      </c>
      <c r="F322" s="1">
        <v>44967</v>
      </c>
      <c r="G322" s="1">
        <v>45083</v>
      </c>
      <c r="H322">
        <f t="shared" ref="H322:H385" si="78">G322-F322</f>
        <v>116</v>
      </c>
      <c r="I322" t="s">
        <v>36</v>
      </c>
      <c r="J322">
        <v>28.5</v>
      </c>
      <c r="K322">
        <v>246</v>
      </c>
      <c r="L322">
        <v>1</v>
      </c>
      <c r="M322">
        <v>1</v>
      </c>
      <c r="N322">
        <v>3</v>
      </c>
      <c r="O322" s="2">
        <v>28.84</v>
      </c>
      <c r="P322" s="3">
        <v>0.97199999999999998</v>
      </c>
      <c r="Q322" s="4">
        <v>0.44003472222222201</v>
      </c>
      <c r="R322" s="4">
        <v>0.72083333333333333</v>
      </c>
      <c r="S322" s="2">
        <f t="shared" ref="S322:S327" si="79">AVERAGE(T322:U322)</f>
        <v>37.232999999999997</v>
      </c>
      <c r="T322" s="13"/>
      <c r="U322" s="10">
        <v>37.232999999999997</v>
      </c>
      <c r="V322" s="2"/>
      <c r="W322" s="2" t="str">
        <f t="shared" si="77"/>
        <v>6:44:21</v>
      </c>
      <c r="X322" s="10">
        <v>7.3099999999999997E-3</v>
      </c>
      <c r="Y322" s="12">
        <f t="shared" ref="Y322:Y327" si="80">U322-X322</f>
        <v>37.22569</v>
      </c>
      <c r="AA322" s="10">
        <f t="shared" ref="AA322:AA327" si="81">AVERAGE(Y322,T322)</f>
        <v>37.22569</v>
      </c>
      <c r="AB322" s="10" t="s">
        <v>90</v>
      </c>
    </row>
    <row r="323" spans="1:29" ht="15" customHeight="1" x14ac:dyDescent="0.25">
      <c r="A323">
        <v>89</v>
      </c>
      <c r="B323" t="s">
        <v>34</v>
      </c>
      <c r="C323" t="s">
        <v>35</v>
      </c>
      <c r="D323" t="s">
        <v>13</v>
      </c>
      <c r="E323" t="s">
        <v>5</v>
      </c>
      <c r="F323" s="1">
        <v>44967</v>
      </c>
      <c r="G323" s="1">
        <v>45083</v>
      </c>
      <c r="H323">
        <f t="shared" si="78"/>
        <v>116</v>
      </c>
      <c r="I323" t="s">
        <v>36</v>
      </c>
      <c r="J323">
        <v>28.5</v>
      </c>
      <c r="K323">
        <v>246</v>
      </c>
      <c r="L323">
        <v>1</v>
      </c>
      <c r="M323">
        <v>1</v>
      </c>
      <c r="N323">
        <v>5</v>
      </c>
      <c r="O323" s="2">
        <v>23.17</v>
      </c>
      <c r="P323" s="3">
        <v>2.2183000000000002</v>
      </c>
      <c r="Q323" s="4">
        <v>0.44003472222222201</v>
      </c>
      <c r="R323" s="4">
        <v>0.72083333333333333</v>
      </c>
      <c r="S323" s="2">
        <f t="shared" si="79"/>
        <v>37.232999999999997</v>
      </c>
      <c r="T323" s="13"/>
      <c r="U323" s="10">
        <v>37.232999999999997</v>
      </c>
      <c r="V323" s="2"/>
      <c r="W323" s="2" t="str">
        <f t="shared" si="77"/>
        <v>6:44:21</v>
      </c>
      <c r="X323" s="10">
        <v>7.3099999999999997E-3</v>
      </c>
      <c r="Y323" s="12">
        <f t="shared" si="80"/>
        <v>37.22569</v>
      </c>
      <c r="AA323" s="10">
        <f t="shared" si="81"/>
        <v>37.22569</v>
      </c>
      <c r="AB323" s="10" t="s">
        <v>90</v>
      </c>
    </row>
    <row r="324" spans="1:29" ht="15" customHeight="1" x14ac:dyDescent="0.25">
      <c r="A324">
        <v>89</v>
      </c>
      <c r="B324" t="s">
        <v>34</v>
      </c>
      <c r="C324" t="s">
        <v>35</v>
      </c>
      <c r="D324" t="s">
        <v>13</v>
      </c>
      <c r="E324" t="s">
        <v>5</v>
      </c>
      <c r="F324" s="1">
        <v>44967</v>
      </c>
      <c r="G324" s="1">
        <v>45083</v>
      </c>
      <c r="H324">
        <f t="shared" si="78"/>
        <v>116</v>
      </c>
      <c r="I324" t="s">
        <v>37</v>
      </c>
      <c r="J324">
        <v>30</v>
      </c>
      <c r="K324">
        <v>350</v>
      </c>
      <c r="L324">
        <v>1</v>
      </c>
      <c r="M324">
        <v>1</v>
      </c>
      <c r="N324">
        <v>3</v>
      </c>
      <c r="O324" s="2">
        <v>28.86</v>
      </c>
      <c r="P324" s="3">
        <v>0.97709999999999997</v>
      </c>
      <c r="Q324" s="4">
        <v>0.44003472222222201</v>
      </c>
      <c r="R324" s="4">
        <v>0.72083333333333333</v>
      </c>
      <c r="S324" s="2">
        <f t="shared" si="79"/>
        <v>37.232999999999997</v>
      </c>
      <c r="T324" s="13"/>
      <c r="U324" s="10">
        <v>37.232999999999997</v>
      </c>
      <c r="V324" s="2"/>
      <c r="W324" s="2" t="str">
        <f t="shared" si="77"/>
        <v>6:44:21</v>
      </c>
      <c r="X324" s="10">
        <v>7.3099999999999997E-3</v>
      </c>
      <c r="Y324" s="12">
        <f t="shared" si="80"/>
        <v>37.22569</v>
      </c>
      <c r="AA324" s="10">
        <f t="shared" si="81"/>
        <v>37.22569</v>
      </c>
      <c r="AB324" s="10" t="s">
        <v>90</v>
      </c>
    </row>
    <row r="325" spans="1:29" ht="15" customHeight="1" x14ac:dyDescent="0.25">
      <c r="A325">
        <v>89</v>
      </c>
      <c r="B325" t="s">
        <v>34</v>
      </c>
      <c r="C325" t="s">
        <v>35</v>
      </c>
      <c r="D325" t="s">
        <v>13</v>
      </c>
      <c r="E325" t="s">
        <v>5</v>
      </c>
      <c r="F325" s="1">
        <v>44967</v>
      </c>
      <c r="G325" s="1">
        <v>45083</v>
      </c>
      <c r="H325">
        <f t="shared" si="78"/>
        <v>116</v>
      </c>
      <c r="I325" t="s">
        <v>37</v>
      </c>
      <c r="J325">
        <v>30</v>
      </c>
      <c r="K325">
        <v>350</v>
      </c>
      <c r="L325">
        <v>1</v>
      </c>
      <c r="M325">
        <v>1</v>
      </c>
      <c r="N325">
        <v>1</v>
      </c>
      <c r="O325" s="2">
        <v>30.31</v>
      </c>
      <c r="P325" s="3">
        <v>1.1155999999999999</v>
      </c>
      <c r="Q325" s="4">
        <v>0.44003472222222201</v>
      </c>
      <c r="R325" s="4">
        <v>0.72083333333333333</v>
      </c>
      <c r="S325" s="2">
        <f t="shared" si="79"/>
        <v>37.232999999999997</v>
      </c>
      <c r="T325" s="13"/>
      <c r="U325" s="10">
        <v>37.232999999999997</v>
      </c>
      <c r="V325" s="2"/>
      <c r="W325" s="2" t="str">
        <f t="shared" si="77"/>
        <v>6:44:21</v>
      </c>
      <c r="X325" s="10">
        <v>7.3099999999999997E-3</v>
      </c>
      <c r="Y325" s="12">
        <f t="shared" si="80"/>
        <v>37.22569</v>
      </c>
      <c r="AA325" s="10">
        <f t="shared" si="81"/>
        <v>37.22569</v>
      </c>
      <c r="AB325" s="10" t="s">
        <v>90</v>
      </c>
    </row>
    <row r="326" spans="1:29" ht="15" customHeight="1" x14ac:dyDescent="0.25">
      <c r="A326">
        <v>89</v>
      </c>
      <c r="B326" t="s">
        <v>34</v>
      </c>
      <c r="C326" t="s">
        <v>35</v>
      </c>
      <c r="D326" t="s">
        <v>13</v>
      </c>
      <c r="E326" t="s">
        <v>5</v>
      </c>
      <c r="F326" s="1">
        <v>44967</v>
      </c>
      <c r="G326" s="1">
        <v>45083</v>
      </c>
      <c r="H326">
        <f t="shared" si="78"/>
        <v>116</v>
      </c>
      <c r="I326" t="s">
        <v>37</v>
      </c>
      <c r="J326">
        <v>30</v>
      </c>
      <c r="K326">
        <v>350</v>
      </c>
      <c r="L326">
        <v>1</v>
      </c>
      <c r="M326">
        <v>1</v>
      </c>
      <c r="N326">
        <v>5</v>
      </c>
      <c r="O326" s="2">
        <v>33.83</v>
      </c>
      <c r="P326" s="3">
        <v>1.5087999999999999</v>
      </c>
      <c r="Q326" s="4">
        <v>0.44003472222222201</v>
      </c>
      <c r="R326" s="4">
        <v>0.72083333333333333</v>
      </c>
      <c r="S326" s="2">
        <f t="shared" si="79"/>
        <v>37.232999999999997</v>
      </c>
      <c r="T326" s="13"/>
      <c r="U326" s="10">
        <v>37.232999999999997</v>
      </c>
      <c r="V326" s="2"/>
      <c r="W326" s="2" t="str">
        <f t="shared" si="77"/>
        <v>6:44:21</v>
      </c>
      <c r="X326" s="10">
        <v>7.3099999999999997E-3</v>
      </c>
      <c r="Y326" s="12">
        <f t="shared" si="80"/>
        <v>37.22569</v>
      </c>
      <c r="AA326" s="10">
        <f t="shared" si="81"/>
        <v>37.22569</v>
      </c>
      <c r="AB326" s="10" t="s">
        <v>90</v>
      </c>
    </row>
    <row r="327" spans="1:29" ht="15" customHeight="1" x14ac:dyDescent="0.25">
      <c r="A327">
        <v>89</v>
      </c>
      <c r="B327" t="s">
        <v>34</v>
      </c>
      <c r="C327" t="s">
        <v>35</v>
      </c>
      <c r="D327" t="s">
        <v>13</v>
      </c>
      <c r="E327" t="s">
        <v>5</v>
      </c>
      <c r="F327" s="1">
        <v>44967</v>
      </c>
      <c r="G327" s="1">
        <v>45083</v>
      </c>
      <c r="H327">
        <f t="shared" si="78"/>
        <v>116</v>
      </c>
      <c r="I327" t="s">
        <v>38</v>
      </c>
      <c r="J327">
        <v>31.5</v>
      </c>
      <c r="K327">
        <v>257</v>
      </c>
      <c r="L327">
        <v>1</v>
      </c>
      <c r="M327">
        <v>1</v>
      </c>
      <c r="N327">
        <v>1</v>
      </c>
      <c r="O327" s="2">
        <v>31.92</v>
      </c>
      <c r="P327" s="3">
        <v>1.3905000000000001</v>
      </c>
      <c r="Q327" s="4">
        <v>0.44003472222222201</v>
      </c>
      <c r="R327" s="4">
        <v>0.72083333333333333</v>
      </c>
      <c r="S327" s="2">
        <f t="shared" si="79"/>
        <v>37.232999999999997</v>
      </c>
      <c r="T327" s="13"/>
      <c r="U327" s="10">
        <v>37.232999999999997</v>
      </c>
      <c r="V327" s="2"/>
      <c r="W327" s="2" t="str">
        <f t="shared" si="77"/>
        <v>6:44:21</v>
      </c>
      <c r="X327" s="10">
        <v>7.3099999999999997E-3</v>
      </c>
      <c r="Y327" s="12">
        <f t="shared" si="80"/>
        <v>37.22569</v>
      </c>
      <c r="AA327" s="10">
        <f t="shared" si="81"/>
        <v>37.22569</v>
      </c>
      <c r="AB327" s="10" t="s">
        <v>90</v>
      </c>
    </row>
    <row r="328" spans="1:29" ht="15" customHeight="1" x14ac:dyDescent="0.25">
      <c r="A328">
        <v>89</v>
      </c>
      <c r="B328" t="s">
        <v>34</v>
      </c>
      <c r="C328" t="s">
        <v>35</v>
      </c>
      <c r="D328" t="s">
        <v>13</v>
      </c>
      <c r="E328" t="s">
        <v>5</v>
      </c>
      <c r="F328" s="6">
        <v>44967</v>
      </c>
      <c r="G328" s="1">
        <v>45086</v>
      </c>
      <c r="H328">
        <f t="shared" si="78"/>
        <v>119</v>
      </c>
      <c r="J328">
        <v>31.5</v>
      </c>
      <c r="K328">
        <v>328</v>
      </c>
      <c r="L328">
        <v>2</v>
      </c>
      <c r="O328" s="2">
        <v>30.07</v>
      </c>
      <c r="P328" s="3">
        <v>1.1014999999999999</v>
      </c>
      <c r="Q328" s="4">
        <v>0.481793981481482</v>
      </c>
      <c r="R328" s="4">
        <v>0.74236111111111114</v>
      </c>
      <c r="S328" s="2"/>
      <c r="T328" s="13"/>
      <c r="V328" s="2"/>
      <c r="W328" s="2" t="str">
        <f t="shared" si="77"/>
        <v>6:15:13</v>
      </c>
      <c r="Y328" s="12"/>
      <c r="AA328" s="10">
        <v>37.229999999999997</v>
      </c>
      <c r="AB328" s="10" t="s">
        <v>91</v>
      </c>
    </row>
    <row r="329" spans="1:29" ht="15" customHeight="1" x14ac:dyDescent="0.25">
      <c r="A329">
        <v>89</v>
      </c>
      <c r="B329" t="s">
        <v>34</v>
      </c>
      <c r="C329" t="s">
        <v>35</v>
      </c>
      <c r="D329" t="s">
        <v>13</v>
      </c>
      <c r="E329" t="s">
        <v>5</v>
      </c>
      <c r="F329" s="1">
        <v>44967</v>
      </c>
      <c r="G329" s="1">
        <v>45083</v>
      </c>
      <c r="H329">
        <f t="shared" si="78"/>
        <v>116</v>
      </c>
      <c r="I329" t="s">
        <v>38</v>
      </c>
      <c r="J329">
        <v>31.5</v>
      </c>
      <c r="K329">
        <v>257</v>
      </c>
      <c r="L329">
        <v>1</v>
      </c>
      <c r="M329">
        <v>1</v>
      </c>
      <c r="N329">
        <v>4</v>
      </c>
      <c r="O329" s="2">
        <v>32.22</v>
      </c>
      <c r="P329" s="3">
        <v>1.4919</v>
      </c>
      <c r="Q329" s="4">
        <v>0.44003472222222201</v>
      </c>
      <c r="R329" s="4">
        <v>0.72222222222222221</v>
      </c>
      <c r="S329" s="2">
        <f t="shared" ref="S329:S340" si="82">AVERAGE(T329:U329)</f>
        <v>37.287999999999997</v>
      </c>
      <c r="T329" s="13"/>
      <c r="U329" s="10">
        <v>37.287999999999997</v>
      </c>
      <c r="V329" s="2"/>
      <c r="W329" s="2" t="str">
        <f t="shared" si="77"/>
        <v>6:46:21</v>
      </c>
      <c r="X329" s="10">
        <v>7.3099999999999997E-3</v>
      </c>
      <c r="Y329" s="12">
        <f>U329-X329</f>
        <v>37.28069</v>
      </c>
      <c r="AA329" s="10">
        <f t="shared" ref="AA329:AA340" si="83">AVERAGE(Y329,T329)</f>
        <v>37.28069</v>
      </c>
      <c r="AB329" s="10" t="s">
        <v>90</v>
      </c>
    </row>
    <row r="330" spans="1:29" ht="15" customHeight="1" x14ac:dyDescent="0.25">
      <c r="A330">
        <v>60</v>
      </c>
      <c r="B330" t="s">
        <v>34</v>
      </c>
      <c r="C330" t="s">
        <v>35</v>
      </c>
      <c r="D330" t="s">
        <v>13</v>
      </c>
      <c r="E330" t="s">
        <v>5</v>
      </c>
      <c r="F330" s="1">
        <v>44943</v>
      </c>
      <c r="G330" s="1">
        <v>45078</v>
      </c>
      <c r="H330">
        <f t="shared" si="78"/>
        <v>135</v>
      </c>
      <c r="I330" t="s">
        <v>37</v>
      </c>
      <c r="J330">
        <v>30</v>
      </c>
      <c r="K330">
        <v>152</v>
      </c>
      <c r="L330">
        <v>1</v>
      </c>
      <c r="M330">
        <v>6</v>
      </c>
      <c r="N330">
        <v>2</v>
      </c>
      <c r="O330" s="2">
        <v>29.8</v>
      </c>
      <c r="P330" s="3">
        <v>1.0305</v>
      </c>
      <c r="Q330" s="4">
        <v>0.51203703703703696</v>
      </c>
      <c r="R330" s="4">
        <v>0.77638888888888891</v>
      </c>
      <c r="S330" s="2">
        <f t="shared" si="82"/>
        <v>37.299999999999997</v>
      </c>
      <c r="T330" s="13">
        <v>37.299999999999997</v>
      </c>
      <c r="V330" s="2"/>
      <c r="W330" s="2" t="str">
        <f t="shared" si="77"/>
        <v>6:20:40</v>
      </c>
      <c r="Y330" s="12"/>
      <c r="AA330" s="10">
        <f t="shared" si="83"/>
        <v>37.299999999999997</v>
      </c>
      <c r="AB330" s="10" t="s">
        <v>90</v>
      </c>
    </row>
    <row r="331" spans="1:29" ht="15" customHeight="1" x14ac:dyDescent="0.25">
      <c r="A331">
        <v>60</v>
      </c>
      <c r="B331" t="s">
        <v>34</v>
      </c>
      <c r="C331" t="s">
        <v>35</v>
      </c>
      <c r="D331" t="s">
        <v>13</v>
      </c>
      <c r="E331" t="s">
        <v>5</v>
      </c>
      <c r="F331" s="1">
        <v>44943</v>
      </c>
      <c r="G331" s="1">
        <v>45078</v>
      </c>
      <c r="H331">
        <f t="shared" si="78"/>
        <v>135</v>
      </c>
      <c r="I331" t="s">
        <v>37</v>
      </c>
      <c r="J331">
        <v>30</v>
      </c>
      <c r="K331">
        <v>152</v>
      </c>
      <c r="L331">
        <v>1</v>
      </c>
      <c r="M331">
        <v>6</v>
      </c>
      <c r="N331">
        <v>4</v>
      </c>
      <c r="O331" s="2">
        <v>35.24</v>
      </c>
      <c r="P331" s="3">
        <v>1.7748999999999999</v>
      </c>
      <c r="Q331" s="4">
        <v>0.51203703703703696</v>
      </c>
      <c r="R331" s="4">
        <v>0.77500000000000002</v>
      </c>
      <c r="S331" s="2">
        <f t="shared" si="82"/>
        <v>37.299999999999997</v>
      </c>
      <c r="T331" s="13">
        <v>37.299999999999997</v>
      </c>
      <c r="V331" s="2"/>
      <c r="W331" s="2" t="str">
        <f t="shared" si="77"/>
        <v>6:18:40</v>
      </c>
      <c r="Y331" s="12"/>
      <c r="AA331" s="10">
        <f t="shared" si="83"/>
        <v>37.299999999999997</v>
      </c>
      <c r="AB331" s="10" t="s">
        <v>90</v>
      </c>
    </row>
    <row r="332" spans="1:29" ht="15" customHeight="1" x14ac:dyDescent="0.25">
      <c r="A332">
        <v>60</v>
      </c>
      <c r="B332" t="s">
        <v>34</v>
      </c>
      <c r="C332" t="s">
        <v>35</v>
      </c>
      <c r="D332" t="s">
        <v>13</v>
      </c>
      <c r="E332" t="s">
        <v>5</v>
      </c>
      <c r="F332" s="1">
        <v>44943</v>
      </c>
      <c r="G332" s="1">
        <v>45078</v>
      </c>
      <c r="H332">
        <f t="shared" si="78"/>
        <v>135</v>
      </c>
      <c r="I332" t="s">
        <v>36</v>
      </c>
      <c r="J332">
        <v>31.5</v>
      </c>
      <c r="K332">
        <v>357</v>
      </c>
      <c r="L332">
        <v>1</v>
      </c>
      <c r="M332">
        <v>6</v>
      </c>
      <c r="N332">
        <v>4</v>
      </c>
      <c r="O332" s="2">
        <v>27.5</v>
      </c>
      <c r="P332" s="3">
        <v>0.73280000000000001</v>
      </c>
      <c r="Q332" s="4">
        <v>0.51203703703703696</v>
      </c>
      <c r="R332" s="4">
        <v>0.77638888888888891</v>
      </c>
      <c r="S332" s="2">
        <f t="shared" si="82"/>
        <v>37.299999999999997</v>
      </c>
      <c r="T332" s="13">
        <v>37.299999999999997</v>
      </c>
      <c r="V332" s="2"/>
      <c r="W332" s="2" t="str">
        <f t="shared" si="77"/>
        <v>6:20:40</v>
      </c>
      <c r="Y332" s="12"/>
      <c r="AA332" s="10">
        <f t="shared" si="83"/>
        <v>37.299999999999997</v>
      </c>
      <c r="AB332" s="10" t="s">
        <v>90</v>
      </c>
    </row>
    <row r="333" spans="1:29" ht="15" customHeight="1" x14ac:dyDescent="0.25">
      <c r="A333">
        <v>60</v>
      </c>
      <c r="B333" t="s">
        <v>34</v>
      </c>
      <c r="C333" t="s">
        <v>35</v>
      </c>
      <c r="D333" t="s">
        <v>13</v>
      </c>
      <c r="E333" t="s">
        <v>5</v>
      </c>
      <c r="F333" s="1">
        <v>44943</v>
      </c>
      <c r="G333" s="1">
        <v>45078</v>
      </c>
      <c r="H333">
        <f t="shared" si="78"/>
        <v>135</v>
      </c>
      <c r="I333" t="s">
        <v>36</v>
      </c>
      <c r="J333">
        <v>31.5</v>
      </c>
      <c r="K333">
        <v>357</v>
      </c>
      <c r="L333">
        <v>1</v>
      </c>
      <c r="M333">
        <v>6</v>
      </c>
      <c r="N333">
        <v>3</v>
      </c>
      <c r="O333" s="2">
        <v>28.13</v>
      </c>
      <c r="P333" s="3">
        <v>0.86050000000000004</v>
      </c>
      <c r="Q333" s="4">
        <v>0.51203703703703696</v>
      </c>
      <c r="R333" s="4">
        <v>0.77638888888888891</v>
      </c>
      <c r="S333" s="2">
        <f t="shared" si="82"/>
        <v>37.299999999999997</v>
      </c>
      <c r="T333" s="13">
        <v>37.299999999999997</v>
      </c>
      <c r="V333" s="2"/>
      <c r="W333" s="2" t="str">
        <f t="shared" si="77"/>
        <v>6:20:40</v>
      </c>
      <c r="Y333" s="12"/>
      <c r="AA333" s="10">
        <f t="shared" si="83"/>
        <v>37.299999999999997</v>
      </c>
      <c r="AB333" s="10" t="s">
        <v>90</v>
      </c>
    </row>
    <row r="334" spans="1:29" ht="15" customHeight="1" x14ac:dyDescent="0.25">
      <c r="A334" s="14">
        <v>60</v>
      </c>
      <c r="B334" s="14" t="s">
        <v>34</v>
      </c>
      <c r="C334" s="14" t="s">
        <v>35</v>
      </c>
      <c r="D334" s="14" t="s">
        <v>13</v>
      </c>
      <c r="E334" s="14" t="s">
        <v>5</v>
      </c>
      <c r="F334" s="15">
        <v>44943</v>
      </c>
      <c r="G334" s="15">
        <v>45078</v>
      </c>
      <c r="H334" s="14">
        <f t="shared" si="78"/>
        <v>135</v>
      </c>
      <c r="I334" s="14" t="s">
        <v>36</v>
      </c>
      <c r="J334" s="14">
        <v>31.5</v>
      </c>
      <c r="K334" s="14">
        <v>357</v>
      </c>
      <c r="L334" s="14">
        <v>1</v>
      </c>
      <c r="M334" s="14">
        <v>6</v>
      </c>
      <c r="N334" s="14">
        <v>1</v>
      </c>
      <c r="O334" s="16">
        <v>29.95</v>
      </c>
      <c r="P334" s="17">
        <v>1.0333000000000001</v>
      </c>
      <c r="Q334" s="18">
        <v>0.51203703703703696</v>
      </c>
      <c r="R334" s="18"/>
      <c r="S334" s="16">
        <f t="shared" si="82"/>
        <v>37.299999999999997</v>
      </c>
      <c r="T334" s="19">
        <v>37.299999999999997</v>
      </c>
      <c r="U334" s="20"/>
      <c r="V334" s="16"/>
      <c r="W334" s="16" t="e">
        <f t="shared" si="77"/>
        <v>#VALUE!</v>
      </c>
      <c r="X334" s="20"/>
      <c r="Y334" s="21"/>
      <c r="Z334" s="20"/>
      <c r="AA334" s="20">
        <f t="shared" si="83"/>
        <v>37.299999999999997</v>
      </c>
      <c r="AB334" s="20" t="s">
        <v>90</v>
      </c>
      <c r="AC334" s="14"/>
    </row>
    <row r="335" spans="1:29" ht="15" customHeight="1" x14ac:dyDescent="0.25">
      <c r="A335">
        <v>69</v>
      </c>
      <c r="B335" t="s">
        <v>45</v>
      </c>
      <c r="C335" t="s">
        <v>46</v>
      </c>
      <c r="D335" t="s">
        <v>13</v>
      </c>
      <c r="E335" t="s">
        <v>5</v>
      </c>
      <c r="F335" s="1">
        <v>44956</v>
      </c>
      <c r="G335" s="1">
        <v>45078</v>
      </c>
      <c r="H335">
        <f t="shared" si="78"/>
        <v>122</v>
      </c>
      <c r="I335" t="s">
        <v>37</v>
      </c>
      <c r="J335">
        <v>30</v>
      </c>
      <c r="K335">
        <v>352</v>
      </c>
      <c r="L335">
        <v>1</v>
      </c>
      <c r="M335">
        <v>5</v>
      </c>
      <c r="N335">
        <v>5</v>
      </c>
      <c r="O335" s="2">
        <v>32.14</v>
      </c>
      <c r="P335" s="3">
        <v>1.1043000000000001</v>
      </c>
      <c r="Q335" s="4">
        <v>0.51203703703703696</v>
      </c>
      <c r="S335" s="2">
        <f t="shared" si="82"/>
        <v>37.299999999999997</v>
      </c>
      <c r="T335" s="13">
        <v>37.299999999999997</v>
      </c>
      <c r="V335" s="2"/>
      <c r="W335" s="2" t="e">
        <f t="shared" si="77"/>
        <v>#VALUE!</v>
      </c>
      <c r="Y335" s="12"/>
      <c r="AA335" s="10">
        <f t="shared" si="83"/>
        <v>37.299999999999997</v>
      </c>
      <c r="AB335" s="10" t="s">
        <v>90</v>
      </c>
    </row>
    <row r="336" spans="1:29" ht="15" customHeight="1" x14ac:dyDescent="0.25">
      <c r="A336">
        <v>89</v>
      </c>
      <c r="B336" t="s">
        <v>34</v>
      </c>
      <c r="C336" t="s">
        <v>35</v>
      </c>
      <c r="D336" t="s">
        <v>13</v>
      </c>
      <c r="E336" t="s">
        <v>5</v>
      </c>
      <c r="F336" s="6">
        <v>44967</v>
      </c>
      <c r="G336" s="1">
        <v>45078</v>
      </c>
      <c r="H336">
        <f t="shared" si="78"/>
        <v>111</v>
      </c>
      <c r="I336" t="s">
        <v>36</v>
      </c>
      <c r="J336">
        <v>31.5</v>
      </c>
      <c r="K336">
        <v>328</v>
      </c>
      <c r="L336">
        <v>2</v>
      </c>
      <c r="M336">
        <v>3</v>
      </c>
      <c r="N336">
        <v>1</v>
      </c>
      <c r="O336" s="2">
        <v>27.63</v>
      </c>
      <c r="P336" s="3">
        <v>0.78500000000000003</v>
      </c>
      <c r="Q336" s="4">
        <v>0.51203703703703696</v>
      </c>
      <c r="S336" s="2">
        <f t="shared" si="82"/>
        <v>37.299999999999997</v>
      </c>
      <c r="T336" s="13">
        <v>37.299999999999997</v>
      </c>
      <c r="V336" s="2"/>
      <c r="W336" s="2" t="e">
        <f t="shared" ref="W336:W367" si="84">TEXT(R336-Q336,"h:mm:ss")</f>
        <v>#VALUE!</v>
      </c>
      <c r="Y336" s="12"/>
      <c r="AA336" s="10">
        <f t="shared" si="83"/>
        <v>37.299999999999997</v>
      </c>
      <c r="AB336" s="10" t="s">
        <v>90</v>
      </c>
    </row>
    <row r="337" spans="1:28" ht="15" customHeight="1" x14ac:dyDescent="0.25">
      <c r="A337">
        <v>89</v>
      </c>
      <c r="B337" t="s">
        <v>34</v>
      </c>
      <c r="C337" t="s">
        <v>35</v>
      </c>
      <c r="D337" t="s">
        <v>13</v>
      </c>
      <c r="E337" t="s">
        <v>5</v>
      </c>
      <c r="F337" s="6">
        <v>44967</v>
      </c>
      <c r="G337" s="1">
        <v>45078</v>
      </c>
      <c r="H337">
        <f t="shared" si="78"/>
        <v>111</v>
      </c>
      <c r="I337" t="s">
        <v>36</v>
      </c>
      <c r="J337">
        <v>31.5</v>
      </c>
      <c r="K337">
        <v>328</v>
      </c>
      <c r="L337">
        <v>2</v>
      </c>
      <c r="M337">
        <v>3</v>
      </c>
      <c r="N337">
        <v>5</v>
      </c>
      <c r="O337" s="2">
        <v>29.87</v>
      </c>
      <c r="P337" s="3">
        <v>0.91590000000000005</v>
      </c>
      <c r="Q337" s="4">
        <v>0.51203703703703696</v>
      </c>
      <c r="S337" s="2">
        <f t="shared" si="82"/>
        <v>37.299999999999997</v>
      </c>
      <c r="T337" s="13">
        <v>37.299999999999997</v>
      </c>
      <c r="V337" s="2"/>
      <c r="W337" s="2" t="e">
        <f t="shared" si="84"/>
        <v>#VALUE!</v>
      </c>
      <c r="Y337" s="12"/>
      <c r="AA337" s="10">
        <f t="shared" si="83"/>
        <v>37.299999999999997</v>
      </c>
      <c r="AB337" s="10" t="s">
        <v>90</v>
      </c>
    </row>
    <row r="338" spans="1:28" ht="15" customHeight="1" x14ac:dyDescent="0.25">
      <c r="A338">
        <v>89</v>
      </c>
      <c r="B338" t="s">
        <v>34</v>
      </c>
      <c r="C338" t="s">
        <v>35</v>
      </c>
      <c r="D338" t="s">
        <v>13</v>
      </c>
      <c r="E338" t="s">
        <v>5</v>
      </c>
      <c r="F338" s="6">
        <v>44967</v>
      </c>
      <c r="G338" s="1">
        <v>45078</v>
      </c>
      <c r="H338">
        <f t="shared" si="78"/>
        <v>111</v>
      </c>
      <c r="I338" t="s">
        <v>36</v>
      </c>
      <c r="J338">
        <v>31.5</v>
      </c>
      <c r="K338">
        <v>328</v>
      </c>
      <c r="L338">
        <v>2</v>
      </c>
      <c r="M338">
        <v>3</v>
      </c>
      <c r="N338">
        <v>2</v>
      </c>
      <c r="O338" s="2">
        <v>30.83</v>
      </c>
      <c r="P338" s="3">
        <v>1</v>
      </c>
      <c r="Q338" s="4">
        <v>0.51203703703703696</v>
      </c>
      <c r="S338" s="2">
        <f t="shared" si="82"/>
        <v>37.299999999999997</v>
      </c>
      <c r="T338" s="13">
        <v>37.299999999999997</v>
      </c>
      <c r="V338" s="2"/>
      <c r="W338" s="2" t="e">
        <f t="shared" si="84"/>
        <v>#VALUE!</v>
      </c>
      <c r="Y338" s="12"/>
      <c r="AA338" s="10">
        <f t="shared" si="83"/>
        <v>37.299999999999997</v>
      </c>
      <c r="AB338" s="10" t="s">
        <v>90</v>
      </c>
    </row>
    <row r="339" spans="1:28" ht="15" customHeight="1" x14ac:dyDescent="0.25">
      <c r="A339">
        <v>89</v>
      </c>
      <c r="B339" t="s">
        <v>34</v>
      </c>
      <c r="C339" t="s">
        <v>35</v>
      </c>
      <c r="D339" t="s">
        <v>13</v>
      </c>
      <c r="E339" t="s">
        <v>5</v>
      </c>
      <c r="F339" s="6">
        <v>44967</v>
      </c>
      <c r="G339" s="1">
        <v>45078</v>
      </c>
      <c r="H339">
        <f t="shared" si="78"/>
        <v>111</v>
      </c>
      <c r="I339" t="s">
        <v>36</v>
      </c>
      <c r="J339">
        <v>31.5</v>
      </c>
      <c r="K339">
        <v>328</v>
      </c>
      <c r="L339">
        <v>2</v>
      </c>
      <c r="M339">
        <v>3</v>
      </c>
      <c r="N339">
        <v>3</v>
      </c>
      <c r="O339" s="2">
        <v>31.25</v>
      </c>
      <c r="P339" s="3">
        <v>1.2212000000000001</v>
      </c>
      <c r="Q339" s="4">
        <v>0.51203703703703696</v>
      </c>
      <c r="S339" s="2">
        <f t="shared" si="82"/>
        <v>37.299999999999997</v>
      </c>
      <c r="T339" s="13">
        <v>37.299999999999997</v>
      </c>
      <c r="V339" s="2"/>
      <c r="W339" s="2" t="e">
        <f t="shared" si="84"/>
        <v>#VALUE!</v>
      </c>
      <c r="Y339" s="12"/>
      <c r="AA339" s="10">
        <f t="shared" si="83"/>
        <v>37.299999999999997</v>
      </c>
      <c r="AB339" s="10" t="s">
        <v>90</v>
      </c>
    </row>
    <row r="340" spans="1:28" ht="15" customHeight="1" x14ac:dyDescent="0.25">
      <c r="A340">
        <v>89</v>
      </c>
      <c r="B340" t="s">
        <v>34</v>
      </c>
      <c r="C340" t="s">
        <v>35</v>
      </c>
      <c r="D340" t="s">
        <v>13</v>
      </c>
      <c r="E340" t="s">
        <v>5</v>
      </c>
      <c r="F340" s="1">
        <v>44967</v>
      </c>
      <c r="G340" s="1">
        <v>45083</v>
      </c>
      <c r="H340">
        <f t="shared" si="78"/>
        <v>116</v>
      </c>
      <c r="I340" t="s">
        <v>38</v>
      </c>
      <c r="J340">
        <v>31.5</v>
      </c>
      <c r="K340">
        <v>257</v>
      </c>
      <c r="L340">
        <v>1</v>
      </c>
      <c r="M340">
        <v>1</v>
      </c>
      <c r="N340">
        <v>5</v>
      </c>
      <c r="O340" s="2">
        <v>37.979999999999997</v>
      </c>
      <c r="P340" s="3">
        <v>2.4098999999999999</v>
      </c>
      <c r="Q340" s="4">
        <v>0.44003472222222201</v>
      </c>
      <c r="R340" s="4">
        <v>0.72430555555555554</v>
      </c>
      <c r="S340" s="2">
        <f t="shared" si="82"/>
        <v>37.3215</v>
      </c>
      <c r="T340" s="13">
        <v>37.299999999999997</v>
      </c>
      <c r="U340" s="10">
        <v>37.343000000000004</v>
      </c>
      <c r="V340" s="2">
        <f>U340-T340</f>
        <v>4.3000000000006366E-2</v>
      </c>
      <c r="W340" s="2" t="str">
        <f t="shared" si="84"/>
        <v>6:49:21</v>
      </c>
      <c r="X340" s="10">
        <v>7.3099999999999997E-3</v>
      </c>
      <c r="Y340" s="12">
        <f>U340-X340</f>
        <v>37.335690000000007</v>
      </c>
      <c r="Z340" s="10">
        <f>Y340-T340</f>
        <v>3.5690000000009547E-2</v>
      </c>
      <c r="AA340" s="10">
        <f t="shared" si="83"/>
        <v>37.317845000000005</v>
      </c>
      <c r="AB340" s="10" t="s">
        <v>90</v>
      </c>
    </row>
    <row r="341" spans="1:28" ht="15" customHeight="1" x14ac:dyDescent="0.25">
      <c r="A341">
        <v>89</v>
      </c>
      <c r="B341" t="s">
        <v>34</v>
      </c>
      <c r="C341" t="s">
        <v>35</v>
      </c>
      <c r="D341" t="s">
        <v>13</v>
      </c>
      <c r="E341" t="s">
        <v>5</v>
      </c>
      <c r="F341" s="6">
        <v>44967</v>
      </c>
      <c r="G341" s="1">
        <v>45086</v>
      </c>
      <c r="H341">
        <f t="shared" si="78"/>
        <v>119</v>
      </c>
      <c r="J341">
        <v>30</v>
      </c>
      <c r="K341">
        <v>132</v>
      </c>
      <c r="L341">
        <v>2</v>
      </c>
      <c r="O341" s="2">
        <v>37.32</v>
      </c>
      <c r="P341" s="3">
        <v>1.4525999999999999</v>
      </c>
      <c r="Q341" s="4">
        <v>0.481793981481482</v>
      </c>
      <c r="R341" s="4">
        <v>0.74236111111111114</v>
      </c>
      <c r="S341" s="2"/>
      <c r="T341" s="13"/>
      <c r="V341" s="2"/>
      <c r="W341" s="2" t="str">
        <f t="shared" si="84"/>
        <v>6:15:13</v>
      </c>
      <c r="Y341" s="12"/>
      <c r="AA341" s="10">
        <v>37.32</v>
      </c>
      <c r="AB341" s="10" t="s">
        <v>91</v>
      </c>
    </row>
    <row r="342" spans="1:28" ht="15" customHeight="1" x14ac:dyDescent="0.25">
      <c r="A342">
        <v>89</v>
      </c>
      <c r="B342" t="s">
        <v>34</v>
      </c>
      <c r="C342" t="s">
        <v>35</v>
      </c>
      <c r="D342" t="s">
        <v>13</v>
      </c>
      <c r="E342" t="s">
        <v>5</v>
      </c>
      <c r="F342" s="6">
        <v>44967</v>
      </c>
      <c r="G342" s="1">
        <v>45086</v>
      </c>
      <c r="H342">
        <f t="shared" si="78"/>
        <v>119</v>
      </c>
      <c r="J342">
        <v>31.5</v>
      </c>
      <c r="K342">
        <v>328</v>
      </c>
      <c r="L342">
        <v>2</v>
      </c>
      <c r="O342" s="2">
        <v>34.03</v>
      </c>
      <c r="P342" s="3">
        <v>1.4483999999999999</v>
      </c>
      <c r="Q342" s="4">
        <v>0.481793981481482</v>
      </c>
      <c r="R342" s="4">
        <v>0.74444444444444446</v>
      </c>
      <c r="S342" s="2"/>
      <c r="T342" s="13"/>
      <c r="V342" s="2"/>
      <c r="W342" s="2" t="str">
        <f t="shared" si="84"/>
        <v>6:18:13</v>
      </c>
      <c r="Y342" s="12"/>
      <c r="AA342" s="10">
        <v>37.340000000000003</v>
      </c>
      <c r="AB342" s="10" t="s">
        <v>91</v>
      </c>
    </row>
    <row r="343" spans="1:28" ht="15" customHeight="1" x14ac:dyDescent="0.25">
      <c r="A343">
        <v>60</v>
      </c>
      <c r="B343" t="s">
        <v>34</v>
      </c>
      <c r="C343" t="s">
        <v>35</v>
      </c>
      <c r="D343" t="s">
        <v>13</v>
      </c>
      <c r="E343" t="s">
        <v>5</v>
      </c>
      <c r="F343" s="1">
        <v>44943</v>
      </c>
      <c r="G343" s="1">
        <v>45078</v>
      </c>
      <c r="H343">
        <f t="shared" si="78"/>
        <v>135</v>
      </c>
      <c r="I343" t="s">
        <v>36</v>
      </c>
      <c r="J343">
        <v>31.5</v>
      </c>
      <c r="K343">
        <v>357</v>
      </c>
      <c r="L343">
        <v>1</v>
      </c>
      <c r="M343">
        <v>6</v>
      </c>
      <c r="N343">
        <v>2</v>
      </c>
      <c r="O343" s="2">
        <v>31.04</v>
      </c>
      <c r="P343" s="3">
        <v>1.1524000000000001</v>
      </c>
      <c r="Q343" s="4">
        <v>0.51203703703703696</v>
      </c>
      <c r="R343" s="4">
        <v>0.76666666666666661</v>
      </c>
      <c r="S343" s="2">
        <f t="shared" ref="S343:S355" si="85">AVERAGE(T343:U343)</f>
        <v>37.4</v>
      </c>
      <c r="T343" s="13">
        <v>37.4</v>
      </c>
      <c r="V343" s="2"/>
      <c r="W343" s="2" t="str">
        <f t="shared" si="84"/>
        <v>6:06:40</v>
      </c>
      <c r="Y343" s="12"/>
      <c r="AA343" s="10">
        <f t="shared" ref="AA343:AA355" si="86">AVERAGE(Y343,T343)</f>
        <v>37.4</v>
      </c>
      <c r="AB343" s="10" t="s">
        <v>90</v>
      </c>
    </row>
    <row r="344" spans="1:28" ht="15" customHeight="1" x14ac:dyDescent="0.25">
      <c r="A344">
        <v>69</v>
      </c>
      <c r="B344" t="s">
        <v>45</v>
      </c>
      <c r="C344" t="s">
        <v>46</v>
      </c>
      <c r="D344" t="s">
        <v>13</v>
      </c>
      <c r="E344" t="s">
        <v>5</v>
      </c>
      <c r="F344" s="1">
        <v>44956</v>
      </c>
      <c r="G344" s="1">
        <v>45078</v>
      </c>
      <c r="H344">
        <f t="shared" si="78"/>
        <v>122</v>
      </c>
      <c r="I344" t="s">
        <v>38</v>
      </c>
      <c r="J344">
        <v>28.5</v>
      </c>
      <c r="K344">
        <v>343</v>
      </c>
      <c r="L344">
        <v>1</v>
      </c>
      <c r="M344">
        <v>5</v>
      </c>
      <c r="N344">
        <v>3</v>
      </c>
      <c r="O344" s="2">
        <v>31.57</v>
      </c>
      <c r="P344" s="3">
        <v>1.1508</v>
      </c>
      <c r="Q344" s="4">
        <v>0.51203703703703696</v>
      </c>
      <c r="S344" s="2">
        <f t="shared" si="85"/>
        <v>37.4</v>
      </c>
      <c r="T344" s="13">
        <v>37.4</v>
      </c>
      <c r="V344" s="2"/>
      <c r="W344" s="2" t="e">
        <f t="shared" si="84"/>
        <v>#VALUE!</v>
      </c>
      <c r="Y344" s="12"/>
      <c r="AA344" s="10">
        <f t="shared" si="86"/>
        <v>37.4</v>
      </c>
      <c r="AB344" s="10" t="s">
        <v>90</v>
      </c>
    </row>
    <row r="345" spans="1:28" ht="15" customHeight="1" x14ac:dyDescent="0.25">
      <c r="A345">
        <v>69</v>
      </c>
      <c r="B345" t="s">
        <v>45</v>
      </c>
      <c r="C345" t="s">
        <v>46</v>
      </c>
      <c r="D345" t="s">
        <v>13</v>
      </c>
      <c r="E345" t="s">
        <v>5</v>
      </c>
      <c r="F345" s="1">
        <v>44956</v>
      </c>
      <c r="G345" s="1">
        <v>45078</v>
      </c>
      <c r="H345">
        <f t="shared" si="78"/>
        <v>122</v>
      </c>
      <c r="I345" t="s">
        <v>38</v>
      </c>
      <c r="J345">
        <v>28.5</v>
      </c>
      <c r="K345">
        <v>343</v>
      </c>
      <c r="L345">
        <v>1</v>
      </c>
      <c r="M345">
        <v>5</v>
      </c>
      <c r="N345">
        <v>1</v>
      </c>
      <c r="O345" s="2">
        <v>35.47</v>
      </c>
      <c r="P345" s="3">
        <v>1.5508</v>
      </c>
      <c r="Q345" s="4">
        <v>0.51203703703703696</v>
      </c>
      <c r="S345" s="2">
        <f t="shared" si="85"/>
        <v>37.4</v>
      </c>
      <c r="T345" s="13">
        <v>37.4</v>
      </c>
      <c r="V345" s="2"/>
      <c r="W345" s="2" t="e">
        <f t="shared" si="84"/>
        <v>#VALUE!</v>
      </c>
      <c r="Y345" s="12"/>
      <c r="AA345" s="10">
        <f t="shared" si="86"/>
        <v>37.4</v>
      </c>
      <c r="AB345" s="10" t="s">
        <v>90</v>
      </c>
    </row>
    <row r="346" spans="1:28" ht="15" customHeight="1" x14ac:dyDescent="0.25">
      <c r="A346">
        <v>69</v>
      </c>
      <c r="B346" t="s">
        <v>45</v>
      </c>
      <c r="C346" t="s">
        <v>46</v>
      </c>
      <c r="D346" t="s">
        <v>13</v>
      </c>
      <c r="E346" t="s">
        <v>5</v>
      </c>
      <c r="F346" s="1">
        <v>44956</v>
      </c>
      <c r="G346" s="1">
        <v>45078</v>
      </c>
      <c r="H346">
        <f t="shared" si="78"/>
        <v>122</v>
      </c>
      <c r="I346" t="s">
        <v>37</v>
      </c>
      <c r="J346">
        <v>30</v>
      </c>
      <c r="K346">
        <v>352</v>
      </c>
      <c r="L346">
        <v>1</v>
      </c>
      <c r="M346">
        <v>5</v>
      </c>
      <c r="N346">
        <v>2</v>
      </c>
      <c r="O346" s="2">
        <v>29.05</v>
      </c>
      <c r="P346" s="3">
        <v>0.95620000000000005</v>
      </c>
      <c r="Q346" s="4">
        <v>0.51203703703703696</v>
      </c>
      <c r="S346" s="2">
        <f t="shared" si="85"/>
        <v>37.4</v>
      </c>
      <c r="T346" s="13">
        <v>37.4</v>
      </c>
      <c r="V346" s="2"/>
      <c r="W346" s="2" t="e">
        <f t="shared" si="84"/>
        <v>#VALUE!</v>
      </c>
      <c r="Y346" s="12"/>
      <c r="AA346" s="10">
        <f t="shared" si="86"/>
        <v>37.4</v>
      </c>
      <c r="AB346" s="10" t="s">
        <v>90</v>
      </c>
    </row>
    <row r="347" spans="1:28" ht="15" customHeight="1" x14ac:dyDescent="0.25">
      <c r="A347">
        <v>69</v>
      </c>
      <c r="B347" t="s">
        <v>45</v>
      </c>
      <c r="C347" t="s">
        <v>46</v>
      </c>
      <c r="D347" t="s">
        <v>13</v>
      </c>
      <c r="E347" t="s">
        <v>5</v>
      </c>
      <c r="F347" s="1">
        <v>44956</v>
      </c>
      <c r="G347" s="1">
        <v>45078</v>
      </c>
      <c r="H347">
        <f t="shared" si="78"/>
        <v>122</v>
      </c>
      <c r="I347" t="s">
        <v>37</v>
      </c>
      <c r="J347">
        <v>30</v>
      </c>
      <c r="K347">
        <v>352</v>
      </c>
      <c r="L347">
        <v>1</v>
      </c>
      <c r="M347">
        <v>5</v>
      </c>
      <c r="N347">
        <v>1</v>
      </c>
      <c r="O347" s="2">
        <v>33.25</v>
      </c>
      <c r="P347" s="3">
        <v>1.2694000000000001</v>
      </c>
      <c r="Q347" s="4">
        <v>0.51203703703703696</v>
      </c>
      <c r="S347" s="2">
        <f t="shared" si="85"/>
        <v>37.4</v>
      </c>
      <c r="T347" s="13">
        <v>37.4</v>
      </c>
      <c r="V347" s="2"/>
      <c r="W347" s="2" t="e">
        <f t="shared" si="84"/>
        <v>#VALUE!</v>
      </c>
      <c r="Y347" s="12"/>
      <c r="AA347" s="10">
        <f t="shared" si="86"/>
        <v>37.4</v>
      </c>
      <c r="AB347" s="10" t="s">
        <v>90</v>
      </c>
    </row>
    <row r="348" spans="1:28" ht="15" customHeight="1" x14ac:dyDescent="0.25">
      <c r="A348">
        <v>69</v>
      </c>
      <c r="B348" t="s">
        <v>45</v>
      </c>
      <c r="C348" t="s">
        <v>46</v>
      </c>
      <c r="D348" t="s">
        <v>13</v>
      </c>
      <c r="E348" t="s">
        <v>5</v>
      </c>
      <c r="F348" s="1">
        <v>44956</v>
      </c>
      <c r="G348" s="1">
        <v>45078</v>
      </c>
      <c r="H348">
        <f t="shared" si="78"/>
        <v>122</v>
      </c>
      <c r="I348" t="s">
        <v>37</v>
      </c>
      <c r="J348">
        <v>30</v>
      </c>
      <c r="K348">
        <v>352</v>
      </c>
      <c r="L348">
        <v>1</v>
      </c>
      <c r="M348">
        <v>5</v>
      </c>
      <c r="N348">
        <v>4</v>
      </c>
      <c r="O348" s="2">
        <v>35.11</v>
      </c>
      <c r="P348" s="3">
        <v>1.4966999999999999</v>
      </c>
      <c r="Q348" s="4">
        <v>0.51203703703703696</v>
      </c>
      <c r="R348" s="4">
        <v>0.78333333333333333</v>
      </c>
      <c r="S348" s="2">
        <f t="shared" si="85"/>
        <v>37.4</v>
      </c>
      <c r="T348" s="13">
        <v>37.4</v>
      </c>
      <c r="V348" s="2"/>
      <c r="W348" s="2" t="str">
        <f t="shared" si="84"/>
        <v>6:30:40</v>
      </c>
      <c r="Y348" s="12"/>
      <c r="AA348" s="10">
        <f t="shared" si="86"/>
        <v>37.4</v>
      </c>
      <c r="AB348" s="10" t="s">
        <v>90</v>
      </c>
    </row>
    <row r="349" spans="1:28" ht="15" customHeight="1" x14ac:dyDescent="0.25">
      <c r="A349">
        <v>69</v>
      </c>
      <c r="B349" t="s">
        <v>45</v>
      </c>
      <c r="C349" t="s">
        <v>46</v>
      </c>
      <c r="D349" t="s">
        <v>13</v>
      </c>
      <c r="E349" t="s">
        <v>5</v>
      </c>
      <c r="F349" s="1">
        <v>44956</v>
      </c>
      <c r="G349" s="1">
        <v>45078</v>
      </c>
      <c r="H349">
        <f t="shared" si="78"/>
        <v>122</v>
      </c>
      <c r="I349" t="s">
        <v>37</v>
      </c>
      <c r="J349">
        <v>30</v>
      </c>
      <c r="K349">
        <v>352</v>
      </c>
      <c r="L349">
        <v>1</v>
      </c>
      <c r="M349">
        <v>5</v>
      </c>
      <c r="N349">
        <v>3</v>
      </c>
      <c r="O349" s="2">
        <v>35.130000000000003</v>
      </c>
      <c r="P349" s="3">
        <v>1.6102000000000001</v>
      </c>
      <c r="Q349" s="4">
        <v>0.51203703703703696</v>
      </c>
      <c r="S349" s="2">
        <f t="shared" si="85"/>
        <v>37.4</v>
      </c>
      <c r="T349" s="13">
        <v>37.4</v>
      </c>
      <c r="V349" s="2"/>
      <c r="W349" s="2" t="e">
        <f t="shared" si="84"/>
        <v>#VALUE!</v>
      </c>
      <c r="Y349" s="12"/>
      <c r="AA349" s="10">
        <f t="shared" si="86"/>
        <v>37.4</v>
      </c>
      <c r="AB349" s="10" t="s">
        <v>90</v>
      </c>
    </row>
    <row r="350" spans="1:28" ht="15" customHeight="1" x14ac:dyDescent="0.25">
      <c r="A350">
        <v>69</v>
      </c>
      <c r="B350" t="s">
        <v>45</v>
      </c>
      <c r="C350" t="s">
        <v>46</v>
      </c>
      <c r="D350" t="s">
        <v>13</v>
      </c>
      <c r="E350" t="s">
        <v>5</v>
      </c>
      <c r="F350" s="1">
        <v>44956</v>
      </c>
      <c r="G350" s="1">
        <v>45078</v>
      </c>
      <c r="H350">
        <f t="shared" si="78"/>
        <v>122</v>
      </c>
      <c r="I350" t="s">
        <v>36</v>
      </c>
      <c r="J350">
        <v>31.5</v>
      </c>
      <c r="K350">
        <v>259</v>
      </c>
      <c r="L350">
        <v>1</v>
      </c>
      <c r="M350">
        <v>5</v>
      </c>
      <c r="N350">
        <v>4</v>
      </c>
      <c r="O350" s="2">
        <v>28.06</v>
      </c>
      <c r="P350" s="3">
        <v>0.82869999999999999</v>
      </c>
      <c r="Q350" s="4">
        <v>0.51203703703703696</v>
      </c>
      <c r="R350" s="4">
        <v>0.78333333333333333</v>
      </c>
      <c r="S350" s="2">
        <f t="shared" si="85"/>
        <v>37.4</v>
      </c>
      <c r="T350" s="13">
        <v>37.4</v>
      </c>
      <c r="V350" s="2"/>
      <c r="W350" s="2" t="str">
        <f t="shared" si="84"/>
        <v>6:30:40</v>
      </c>
      <c r="Y350" s="12"/>
      <c r="AA350" s="10">
        <f t="shared" si="86"/>
        <v>37.4</v>
      </c>
      <c r="AB350" s="10" t="s">
        <v>90</v>
      </c>
    </row>
    <row r="351" spans="1:28" ht="15" customHeight="1" x14ac:dyDescent="0.25">
      <c r="A351">
        <v>69</v>
      </c>
      <c r="B351" t="s">
        <v>45</v>
      </c>
      <c r="C351" t="s">
        <v>46</v>
      </c>
      <c r="D351" t="s">
        <v>13</v>
      </c>
      <c r="E351" t="s">
        <v>5</v>
      </c>
      <c r="F351" s="1">
        <v>44956</v>
      </c>
      <c r="G351" s="1">
        <v>45078</v>
      </c>
      <c r="H351">
        <f t="shared" si="78"/>
        <v>122</v>
      </c>
      <c r="I351" t="s">
        <v>36</v>
      </c>
      <c r="J351">
        <v>31.5</v>
      </c>
      <c r="K351">
        <v>259</v>
      </c>
      <c r="L351">
        <v>1</v>
      </c>
      <c r="M351">
        <v>5</v>
      </c>
      <c r="N351">
        <v>2</v>
      </c>
      <c r="O351" s="2">
        <v>29.59</v>
      </c>
      <c r="P351" s="3">
        <v>0.9244</v>
      </c>
      <c r="Q351" s="4">
        <v>0.51203703703703696</v>
      </c>
      <c r="S351" s="2">
        <f t="shared" si="85"/>
        <v>37.4</v>
      </c>
      <c r="T351" s="13">
        <v>37.4</v>
      </c>
      <c r="V351" s="2"/>
      <c r="W351" s="2" t="e">
        <f t="shared" si="84"/>
        <v>#VALUE!</v>
      </c>
      <c r="Y351" s="12"/>
      <c r="AA351" s="10">
        <f t="shared" si="86"/>
        <v>37.4</v>
      </c>
      <c r="AB351" s="10" t="s">
        <v>90</v>
      </c>
    </row>
    <row r="352" spans="1:28" ht="15" customHeight="1" x14ac:dyDescent="0.25">
      <c r="A352">
        <v>69</v>
      </c>
      <c r="B352" t="s">
        <v>45</v>
      </c>
      <c r="C352" t="s">
        <v>46</v>
      </c>
      <c r="D352" t="s">
        <v>13</v>
      </c>
      <c r="E352" t="s">
        <v>5</v>
      </c>
      <c r="F352" s="1">
        <v>44956</v>
      </c>
      <c r="G352" s="1">
        <v>45078</v>
      </c>
      <c r="H352">
        <f t="shared" si="78"/>
        <v>122</v>
      </c>
      <c r="I352" t="s">
        <v>36</v>
      </c>
      <c r="J352">
        <v>31.5</v>
      </c>
      <c r="K352">
        <v>259</v>
      </c>
      <c r="L352">
        <v>1</v>
      </c>
      <c r="M352">
        <v>5</v>
      </c>
      <c r="N352">
        <v>1</v>
      </c>
      <c r="O352" s="2">
        <v>29.43</v>
      </c>
      <c r="P352" s="3">
        <v>0.93669999999999998</v>
      </c>
      <c r="Q352" s="4">
        <v>0.51203703703703696</v>
      </c>
      <c r="R352" s="4">
        <v>0.78333333333333333</v>
      </c>
      <c r="S352" s="2">
        <f t="shared" si="85"/>
        <v>37.4</v>
      </c>
      <c r="T352" s="13">
        <v>37.4</v>
      </c>
      <c r="V352" s="2"/>
      <c r="W352" s="2" t="str">
        <f t="shared" si="84"/>
        <v>6:30:40</v>
      </c>
      <c r="Y352" s="12"/>
      <c r="AA352" s="10">
        <f t="shared" si="86"/>
        <v>37.4</v>
      </c>
      <c r="AB352" s="10" t="s">
        <v>90</v>
      </c>
    </row>
    <row r="353" spans="1:28" ht="15" customHeight="1" x14ac:dyDescent="0.25">
      <c r="A353">
        <v>69</v>
      </c>
      <c r="B353" t="s">
        <v>45</v>
      </c>
      <c r="C353" t="s">
        <v>46</v>
      </c>
      <c r="D353" t="s">
        <v>13</v>
      </c>
      <c r="E353" t="s">
        <v>5</v>
      </c>
      <c r="F353" s="1">
        <v>44956</v>
      </c>
      <c r="G353" s="1">
        <v>45078</v>
      </c>
      <c r="H353">
        <f t="shared" si="78"/>
        <v>122</v>
      </c>
      <c r="I353" t="s">
        <v>36</v>
      </c>
      <c r="J353">
        <v>31.5</v>
      </c>
      <c r="K353">
        <v>259</v>
      </c>
      <c r="L353">
        <v>1</v>
      </c>
      <c r="M353">
        <v>5</v>
      </c>
      <c r="N353">
        <v>3</v>
      </c>
      <c r="O353" s="2">
        <v>29.77</v>
      </c>
      <c r="P353" s="3">
        <v>0.95299999999999996</v>
      </c>
      <c r="Q353" s="4">
        <v>0.51203703703703696</v>
      </c>
      <c r="S353" s="2">
        <f t="shared" si="85"/>
        <v>37.4</v>
      </c>
      <c r="T353" s="13">
        <v>37.4</v>
      </c>
      <c r="V353" s="2"/>
      <c r="W353" s="2" t="e">
        <f t="shared" si="84"/>
        <v>#VALUE!</v>
      </c>
      <c r="Y353" s="12"/>
      <c r="AA353" s="10">
        <f t="shared" si="86"/>
        <v>37.4</v>
      </c>
      <c r="AB353" s="10" t="s">
        <v>90</v>
      </c>
    </row>
    <row r="354" spans="1:28" ht="15" customHeight="1" x14ac:dyDescent="0.25">
      <c r="A354">
        <v>69</v>
      </c>
      <c r="B354" t="s">
        <v>45</v>
      </c>
      <c r="C354" t="s">
        <v>46</v>
      </c>
      <c r="D354" t="s">
        <v>13</v>
      </c>
      <c r="E354" t="s">
        <v>5</v>
      </c>
      <c r="F354" s="1">
        <v>44956</v>
      </c>
      <c r="G354" s="1">
        <v>45078</v>
      </c>
      <c r="H354">
        <f t="shared" si="78"/>
        <v>122</v>
      </c>
      <c r="I354" t="s">
        <v>36</v>
      </c>
      <c r="J354">
        <v>31.5</v>
      </c>
      <c r="K354">
        <v>259</v>
      </c>
      <c r="L354">
        <v>1</v>
      </c>
      <c r="M354">
        <v>5</v>
      </c>
      <c r="N354">
        <v>5</v>
      </c>
      <c r="O354" s="2">
        <v>31.95</v>
      </c>
      <c r="P354" s="3">
        <v>1.2339</v>
      </c>
      <c r="Q354" s="4">
        <v>0.51203703703703696</v>
      </c>
      <c r="R354" s="4">
        <v>0.78541666666666676</v>
      </c>
      <c r="S354" s="2">
        <f t="shared" si="85"/>
        <v>37.4</v>
      </c>
      <c r="T354" s="13">
        <v>37.4</v>
      </c>
      <c r="V354" s="2"/>
      <c r="W354" s="2" t="str">
        <f t="shared" si="84"/>
        <v>6:33:40</v>
      </c>
      <c r="Y354" s="12"/>
      <c r="AA354" s="10">
        <f t="shared" si="86"/>
        <v>37.4</v>
      </c>
      <c r="AB354" s="10" t="s">
        <v>90</v>
      </c>
    </row>
    <row r="355" spans="1:28" ht="15" customHeight="1" x14ac:dyDescent="0.25">
      <c r="A355">
        <v>89</v>
      </c>
      <c r="B355" t="s">
        <v>34</v>
      </c>
      <c r="C355" t="s">
        <v>35</v>
      </c>
      <c r="D355" t="s">
        <v>13</v>
      </c>
      <c r="E355" t="s">
        <v>5</v>
      </c>
      <c r="F355" s="6">
        <v>44967</v>
      </c>
      <c r="G355" s="1">
        <v>45078</v>
      </c>
      <c r="H355">
        <f t="shared" si="78"/>
        <v>111</v>
      </c>
      <c r="I355" t="s">
        <v>36</v>
      </c>
      <c r="J355">
        <v>31.5</v>
      </c>
      <c r="K355">
        <v>328</v>
      </c>
      <c r="L355">
        <v>2</v>
      </c>
      <c r="M355">
        <v>3</v>
      </c>
      <c r="N355">
        <v>4</v>
      </c>
      <c r="O355" s="2">
        <v>33.619999999999997</v>
      </c>
      <c r="P355" s="3">
        <v>1.3791</v>
      </c>
      <c r="Q355" s="4">
        <v>0.51203703703703696</v>
      </c>
      <c r="R355" s="4">
        <v>0.78333333333333333</v>
      </c>
      <c r="S355" s="2">
        <f t="shared" si="85"/>
        <v>37.4</v>
      </c>
      <c r="T355" s="13">
        <v>37.4</v>
      </c>
      <c r="V355" s="2"/>
      <c r="W355" s="2" t="str">
        <f t="shared" si="84"/>
        <v>6:30:40</v>
      </c>
      <c r="Y355" s="12"/>
      <c r="AA355" s="10">
        <f t="shared" si="86"/>
        <v>37.4</v>
      </c>
      <c r="AB355" s="10" t="s">
        <v>90</v>
      </c>
    </row>
    <row r="356" spans="1:28" ht="15" customHeight="1" x14ac:dyDescent="0.25">
      <c r="A356">
        <v>89</v>
      </c>
      <c r="B356" t="s">
        <v>34</v>
      </c>
      <c r="C356" t="s">
        <v>35</v>
      </c>
      <c r="D356" t="s">
        <v>13</v>
      </c>
      <c r="E356" t="s">
        <v>5</v>
      </c>
      <c r="F356" s="6">
        <v>44967</v>
      </c>
      <c r="G356" s="1">
        <v>45078</v>
      </c>
      <c r="H356">
        <f t="shared" si="78"/>
        <v>111</v>
      </c>
      <c r="I356" t="s">
        <v>37</v>
      </c>
      <c r="J356">
        <v>30</v>
      </c>
      <c r="K356">
        <v>132</v>
      </c>
      <c r="L356">
        <v>2</v>
      </c>
      <c r="M356">
        <v>3</v>
      </c>
      <c r="N356">
        <v>3</v>
      </c>
      <c r="O356" s="2">
        <v>35.71</v>
      </c>
      <c r="P356" s="3">
        <v>1.6724000000000001</v>
      </c>
      <c r="Q356" s="4">
        <v>0.51203703703703696</v>
      </c>
      <c r="R356"/>
      <c r="T356" s="13"/>
      <c r="V356" s="2"/>
      <c r="W356" s="2" t="e">
        <f t="shared" si="84"/>
        <v>#VALUE!</v>
      </c>
      <c r="Y356" s="12"/>
      <c r="AB356" s="10" t="s">
        <v>90</v>
      </c>
    </row>
    <row r="357" spans="1:28" ht="15" customHeight="1" x14ac:dyDescent="0.25">
      <c r="A357">
        <v>60</v>
      </c>
      <c r="B357" t="s">
        <v>34</v>
      </c>
      <c r="C357" t="s">
        <v>35</v>
      </c>
      <c r="D357" t="s">
        <v>13</v>
      </c>
      <c r="E357" t="s">
        <v>5</v>
      </c>
      <c r="F357" s="1">
        <v>44943</v>
      </c>
      <c r="G357" s="1">
        <v>45078</v>
      </c>
      <c r="H357">
        <f t="shared" si="78"/>
        <v>135</v>
      </c>
      <c r="I357" t="s">
        <v>37</v>
      </c>
      <c r="J357">
        <v>30</v>
      </c>
      <c r="K357">
        <v>152</v>
      </c>
      <c r="L357">
        <v>1</v>
      </c>
      <c r="M357">
        <v>6</v>
      </c>
      <c r="N357">
        <v>1</v>
      </c>
      <c r="Q357" s="4">
        <v>0.51203703703703696</v>
      </c>
      <c r="R357" s="3"/>
      <c r="S357" s="3"/>
      <c r="T357" s="13"/>
      <c r="V357" s="2"/>
      <c r="W357" s="2" t="e">
        <f t="shared" si="84"/>
        <v>#VALUE!</v>
      </c>
      <c r="Y357" s="12"/>
      <c r="AB357" s="10" t="s">
        <v>90</v>
      </c>
    </row>
    <row r="358" spans="1:28" ht="15" customHeight="1" x14ac:dyDescent="0.25">
      <c r="A358">
        <v>107</v>
      </c>
      <c r="B358" t="s">
        <v>59</v>
      </c>
      <c r="C358" t="s">
        <v>60</v>
      </c>
      <c r="D358" t="s">
        <v>12</v>
      </c>
      <c r="E358" t="s">
        <v>61</v>
      </c>
      <c r="F358" s="1">
        <v>44990</v>
      </c>
      <c r="G358" s="1">
        <v>45117</v>
      </c>
      <c r="H358">
        <f t="shared" si="78"/>
        <v>127</v>
      </c>
      <c r="J358">
        <v>30</v>
      </c>
      <c r="K358">
        <v>149</v>
      </c>
      <c r="L358">
        <v>1</v>
      </c>
      <c r="O358" s="2">
        <v>33.08</v>
      </c>
      <c r="P358" s="3">
        <v>1.4843999999999999</v>
      </c>
      <c r="Q358" s="4">
        <v>0.55208333333333304</v>
      </c>
      <c r="R358" s="4">
        <v>0.79583333333333339</v>
      </c>
      <c r="S358" s="2"/>
      <c r="T358" s="13"/>
      <c r="V358" s="10"/>
      <c r="W358" s="2" t="str">
        <f t="shared" si="84"/>
        <v>5:51:00</v>
      </c>
      <c r="Y358" s="12"/>
      <c r="AA358" s="10">
        <v>36.57</v>
      </c>
      <c r="AB358" s="10" t="s">
        <v>91</v>
      </c>
    </row>
    <row r="359" spans="1:28" ht="15" customHeight="1" x14ac:dyDescent="0.25">
      <c r="A359">
        <v>110</v>
      </c>
      <c r="B359" t="s">
        <v>66</v>
      </c>
      <c r="C359" t="s">
        <v>67</v>
      </c>
      <c r="D359" t="s">
        <v>12</v>
      </c>
      <c r="E359" t="s">
        <v>61</v>
      </c>
      <c r="F359" s="1">
        <v>44992</v>
      </c>
      <c r="G359" s="1">
        <v>45117</v>
      </c>
      <c r="H359">
        <f t="shared" si="78"/>
        <v>125</v>
      </c>
      <c r="J359">
        <v>28.5</v>
      </c>
      <c r="K359">
        <v>347</v>
      </c>
      <c r="L359">
        <v>2</v>
      </c>
      <c r="O359" s="2">
        <v>36.53</v>
      </c>
      <c r="P359" s="3">
        <v>2.0331999999999999</v>
      </c>
      <c r="Q359" s="4">
        <v>0.55208333333333304</v>
      </c>
      <c r="R359" s="4">
        <v>0.7993055555555556</v>
      </c>
      <c r="S359" s="2"/>
      <c r="T359" s="13"/>
      <c r="V359" s="10"/>
      <c r="W359" s="2" t="str">
        <f t="shared" si="84"/>
        <v>5:56:00</v>
      </c>
      <c r="Y359" s="12"/>
      <c r="AA359" s="10">
        <v>36.67</v>
      </c>
      <c r="AB359" s="10" t="s">
        <v>91</v>
      </c>
    </row>
    <row r="360" spans="1:28" ht="15" customHeight="1" x14ac:dyDescent="0.25">
      <c r="A360">
        <v>107</v>
      </c>
      <c r="B360" t="s">
        <v>59</v>
      </c>
      <c r="C360" t="s">
        <v>60</v>
      </c>
      <c r="D360" t="s">
        <v>12</v>
      </c>
      <c r="E360" t="s">
        <v>61</v>
      </c>
      <c r="F360" s="1">
        <v>44990</v>
      </c>
      <c r="G360" s="1">
        <v>45113</v>
      </c>
      <c r="H360">
        <f t="shared" si="78"/>
        <v>123</v>
      </c>
      <c r="I360" t="s">
        <v>37</v>
      </c>
      <c r="J360">
        <v>28.5</v>
      </c>
      <c r="K360">
        <v>141</v>
      </c>
      <c r="L360">
        <v>2</v>
      </c>
      <c r="M360">
        <v>3</v>
      </c>
      <c r="N360">
        <v>5</v>
      </c>
      <c r="O360" s="2">
        <v>27.96</v>
      </c>
      <c r="P360" s="3">
        <v>0.85850000000000004</v>
      </c>
      <c r="Q360" s="4">
        <v>0.48844907407407401</v>
      </c>
      <c r="R360" s="4">
        <v>0.72499999999999998</v>
      </c>
      <c r="T360" s="13">
        <v>36.700000000000003</v>
      </c>
      <c r="U360" s="10">
        <v>36.795999999999999</v>
      </c>
      <c r="V360" s="2">
        <f>U360-T360</f>
        <v>9.5999999999996533E-2</v>
      </c>
      <c r="W360" s="2" t="str">
        <f t="shared" si="84"/>
        <v>5:40:38</v>
      </c>
      <c r="X360" s="10">
        <v>0.124</v>
      </c>
      <c r="Y360" s="12">
        <f>U360-X360</f>
        <v>36.671999999999997</v>
      </c>
      <c r="Z360" s="10">
        <f>Y360-T360</f>
        <v>-2.8000000000005798E-2</v>
      </c>
      <c r="AA360" s="10">
        <f>AVERAGE(Y360,T360)</f>
        <v>36.686</v>
      </c>
      <c r="AB360" s="10" t="s">
        <v>90</v>
      </c>
    </row>
    <row r="361" spans="1:28" ht="15" customHeight="1" x14ac:dyDescent="0.25">
      <c r="A361">
        <v>110</v>
      </c>
      <c r="B361" t="s">
        <v>66</v>
      </c>
      <c r="C361" t="s">
        <v>67</v>
      </c>
      <c r="D361" t="s">
        <v>12</v>
      </c>
      <c r="E361" t="s">
        <v>61</v>
      </c>
      <c r="F361" s="1">
        <v>44992</v>
      </c>
      <c r="G361" s="1">
        <v>45119</v>
      </c>
      <c r="H361">
        <f t="shared" si="78"/>
        <v>127</v>
      </c>
      <c r="I361" t="s">
        <v>38</v>
      </c>
      <c r="J361">
        <v>28.5</v>
      </c>
      <c r="K361">
        <v>335</v>
      </c>
      <c r="L361">
        <v>1</v>
      </c>
      <c r="M361">
        <v>2</v>
      </c>
      <c r="N361">
        <v>1</v>
      </c>
      <c r="O361" s="2">
        <v>29.83</v>
      </c>
      <c r="P361" s="3">
        <v>1.0446</v>
      </c>
      <c r="Q361" s="4">
        <v>0.50962962962962999</v>
      </c>
      <c r="R361" s="4">
        <v>0.75138888888888899</v>
      </c>
      <c r="T361" s="13">
        <v>36.700000000000003</v>
      </c>
      <c r="U361" s="10">
        <v>36.850999999999999</v>
      </c>
      <c r="V361" s="8">
        <f>U361-T361</f>
        <v>0.15099999999999625</v>
      </c>
      <c r="W361" s="2" t="str">
        <f t="shared" si="84"/>
        <v>5:48:08</v>
      </c>
      <c r="X361" s="10">
        <v>5.6599999999999998E-2</v>
      </c>
      <c r="Y361" s="12">
        <f>U361-X361</f>
        <v>36.794399999999996</v>
      </c>
      <c r="Z361" s="10">
        <f>Y361-T361</f>
        <v>9.4399999999993156E-2</v>
      </c>
      <c r="AA361" s="10">
        <f>AVERAGE(Y361,T361)</f>
        <v>36.747199999999999</v>
      </c>
      <c r="AB361" s="10" t="s">
        <v>90</v>
      </c>
    </row>
    <row r="362" spans="1:28" ht="15" customHeight="1" x14ac:dyDescent="0.25">
      <c r="A362">
        <v>110</v>
      </c>
      <c r="B362" t="s">
        <v>66</v>
      </c>
      <c r="C362" t="s">
        <v>67</v>
      </c>
      <c r="D362" t="s">
        <v>12</v>
      </c>
      <c r="E362" t="s">
        <v>61</v>
      </c>
      <c r="F362" s="1">
        <v>44992</v>
      </c>
      <c r="G362" s="1">
        <v>45119</v>
      </c>
      <c r="H362">
        <f t="shared" si="78"/>
        <v>127</v>
      </c>
      <c r="I362" t="s">
        <v>38</v>
      </c>
      <c r="J362">
        <v>28.5</v>
      </c>
      <c r="K362">
        <v>335</v>
      </c>
      <c r="L362">
        <v>1</v>
      </c>
      <c r="M362">
        <v>2</v>
      </c>
      <c r="N362">
        <v>3</v>
      </c>
      <c r="O362" s="2">
        <v>29.52</v>
      </c>
      <c r="P362" s="3">
        <v>1.0826</v>
      </c>
      <c r="Q362" s="4">
        <v>0.50962962962962999</v>
      </c>
      <c r="R362" s="4">
        <v>0.75138888888888899</v>
      </c>
      <c r="T362" s="13">
        <v>36.700000000000003</v>
      </c>
      <c r="U362" s="10">
        <v>36.850999999999999</v>
      </c>
      <c r="V362" s="8">
        <f>U362-T362</f>
        <v>0.15099999999999625</v>
      </c>
      <c r="W362" s="2" t="str">
        <f t="shared" si="84"/>
        <v>5:48:08</v>
      </c>
      <c r="X362" s="10">
        <v>5.6599999999999998E-2</v>
      </c>
      <c r="Y362" s="12">
        <f>U362-X362</f>
        <v>36.794399999999996</v>
      </c>
      <c r="Z362" s="10">
        <f>Y362-T362</f>
        <v>9.4399999999993156E-2</v>
      </c>
      <c r="AA362" s="10">
        <f>AVERAGE(Y362,T362)</f>
        <v>36.747199999999999</v>
      </c>
      <c r="AB362" s="10" t="s">
        <v>90</v>
      </c>
    </row>
    <row r="363" spans="1:28" ht="15" customHeight="1" x14ac:dyDescent="0.25">
      <c r="A363">
        <v>110</v>
      </c>
      <c r="B363" t="s">
        <v>66</v>
      </c>
      <c r="C363" t="s">
        <v>67</v>
      </c>
      <c r="D363" t="s">
        <v>12</v>
      </c>
      <c r="E363" t="s">
        <v>61</v>
      </c>
      <c r="F363" s="1">
        <v>44992</v>
      </c>
      <c r="G363" s="1">
        <v>45119</v>
      </c>
      <c r="H363">
        <f t="shared" si="78"/>
        <v>127</v>
      </c>
      <c r="J363">
        <v>30</v>
      </c>
      <c r="K363">
        <v>329</v>
      </c>
      <c r="L363">
        <v>1</v>
      </c>
      <c r="O363" s="2">
        <v>34.08</v>
      </c>
      <c r="P363" s="3">
        <v>1.4592000000000001</v>
      </c>
      <c r="Q363" s="4">
        <v>0.50962962962962999</v>
      </c>
      <c r="R363" s="4">
        <v>0.75069444444444444</v>
      </c>
      <c r="S363" s="2"/>
      <c r="T363" s="13"/>
      <c r="V363" s="10"/>
      <c r="W363" s="2" t="str">
        <f t="shared" si="84"/>
        <v>5:47:08</v>
      </c>
      <c r="Y363" s="12"/>
      <c r="AA363" s="10">
        <v>36.76</v>
      </c>
      <c r="AB363" s="10" t="s">
        <v>91</v>
      </c>
    </row>
    <row r="364" spans="1:28" ht="15" customHeight="1" x14ac:dyDescent="0.25">
      <c r="A364">
        <v>110</v>
      </c>
      <c r="B364" t="s">
        <v>66</v>
      </c>
      <c r="C364" t="s">
        <v>67</v>
      </c>
      <c r="D364" t="s">
        <v>12</v>
      </c>
      <c r="E364" t="s">
        <v>61</v>
      </c>
      <c r="F364" s="1">
        <v>44992</v>
      </c>
      <c r="G364" s="1">
        <v>45119</v>
      </c>
      <c r="H364">
        <f t="shared" si="78"/>
        <v>127</v>
      </c>
      <c r="I364" t="s">
        <v>38</v>
      </c>
      <c r="J364">
        <v>28.5</v>
      </c>
      <c r="K364">
        <v>335</v>
      </c>
      <c r="L364">
        <v>1</v>
      </c>
      <c r="M364">
        <v>2</v>
      </c>
      <c r="N364">
        <v>4</v>
      </c>
      <c r="O364" s="2">
        <v>34.659999999999997</v>
      </c>
      <c r="P364" s="3">
        <v>1.7605999999999999</v>
      </c>
      <c r="Q364" s="4">
        <v>0.50962962962962999</v>
      </c>
      <c r="R364" s="4">
        <v>0.75347222222222221</v>
      </c>
      <c r="T364" s="13">
        <v>36.700000000000003</v>
      </c>
      <c r="U364" s="10">
        <v>36.905000000000001</v>
      </c>
      <c r="V364" s="8">
        <f t="shared" ref="V364:V370" si="87">U364-T364</f>
        <v>0.20499999999999829</v>
      </c>
      <c r="W364" s="2" t="str">
        <f t="shared" si="84"/>
        <v>5:51:08</v>
      </c>
      <c r="X364" s="10">
        <v>5.6599999999999998E-2</v>
      </c>
      <c r="Y364" s="12">
        <f t="shared" ref="Y364:Y371" si="88">U364-X364</f>
        <v>36.848399999999998</v>
      </c>
      <c r="Z364" s="10">
        <f t="shared" ref="Z364:Z370" si="89">Y364-T364</f>
        <v>0.1483999999999952</v>
      </c>
      <c r="AA364" s="10">
        <f t="shared" ref="AA364:AA371" si="90">AVERAGE(Y364,T364)</f>
        <v>36.7742</v>
      </c>
      <c r="AB364" s="10" t="s">
        <v>90</v>
      </c>
    </row>
    <row r="365" spans="1:28" ht="15" customHeight="1" x14ac:dyDescent="0.25">
      <c r="A365">
        <v>110</v>
      </c>
      <c r="B365" t="s">
        <v>66</v>
      </c>
      <c r="C365" t="s">
        <v>67</v>
      </c>
      <c r="D365" t="s">
        <v>12</v>
      </c>
      <c r="E365" t="s">
        <v>61</v>
      </c>
      <c r="F365" s="1">
        <v>44992</v>
      </c>
      <c r="G365" s="1">
        <v>45119</v>
      </c>
      <c r="H365">
        <f t="shared" si="78"/>
        <v>127</v>
      </c>
      <c r="I365" t="s">
        <v>37</v>
      </c>
      <c r="J365">
        <v>30</v>
      </c>
      <c r="K365">
        <v>151</v>
      </c>
      <c r="L365">
        <v>2</v>
      </c>
      <c r="M365">
        <v>2</v>
      </c>
      <c r="N365">
        <v>1</v>
      </c>
      <c r="O365" s="2">
        <v>27.3</v>
      </c>
      <c r="P365" s="3">
        <v>0.80649999999999999</v>
      </c>
      <c r="Q365" s="4">
        <v>0.50962962962962999</v>
      </c>
      <c r="R365" s="4">
        <v>0.75347222222222221</v>
      </c>
      <c r="T365" s="13">
        <v>36.700000000000003</v>
      </c>
      <c r="U365" s="10">
        <v>36.905000000000001</v>
      </c>
      <c r="V365" s="8">
        <f t="shared" si="87"/>
        <v>0.20499999999999829</v>
      </c>
      <c r="W365" s="2" t="str">
        <f t="shared" si="84"/>
        <v>5:51:08</v>
      </c>
      <c r="X365" s="10">
        <v>5.6599999999999998E-2</v>
      </c>
      <c r="Y365" s="12">
        <f t="shared" si="88"/>
        <v>36.848399999999998</v>
      </c>
      <c r="Z365" s="10">
        <f t="shared" si="89"/>
        <v>0.1483999999999952</v>
      </c>
      <c r="AA365" s="10">
        <f t="shared" si="90"/>
        <v>36.7742</v>
      </c>
      <c r="AB365" s="10" t="s">
        <v>90</v>
      </c>
    </row>
    <row r="366" spans="1:28" ht="15" customHeight="1" x14ac:dyDescent="0.25">
      <c r="A366">
        <v>120</v>
      </c>
      <c r="B366" t="s">
        <v>68</v>
      </c>
      <c r="C366" t="s">
        <v>69</v>
      </c>
      <c r="D366" t="s">
        <v>12</v>
      </c>
      <c r="E366" t="s">
        <v>61</v>
      </c>
      <c r="F366" s="1">
        <v>45006</v>
      </c>
      <c r="G366" s="1">
        <v>45119</v>
      </c>
      <c r="H366">
        <f t="shared" si="78"/>
        <v>113</v>
      </c>
      <c r="I366" t="s">
        <v>38</v>
      </c>
      <c r="J366">
        <v>28.5</v>
      </c>
      <c r="K366">
        <v>140</v>
      </c>
      <c r="L366">
        <v>1</v>
      </c>
      <c r="M366">
        <v>1</v>
      </c>
      <c r="N366">
        <v>4</v>
      </c>
      <c r="O366" s="2">
        <v>29.93</v>
      </c>
      <c r="P366" s="3">
        <v>1.0409999999999999</v>
      </c>
      <c r="Q366" s="4">
        <v>0.50962962962962999</v>
      </c>
      <c r="R366" s="4">
        <v>0.75416666666666676</v>
      </c>
      <c r="T366" s="13">
        <v>36.799999999999997</v>
      </c>
      <c r="U366" s="10">
        <v>36.905000000000001</v>
      </c>
      <c r="V366" s="2">
        <f t="shared" si="87"/>
        <v>0.10500000000000398</v>
      </c>
      <c r="W366" s="2" t="str">
        <f t="shared" si="84"/>
        <v>5:52:08</v>
      </c>
      <c r="X366" s="10">
        <v>0.11700000000000001</v>
      </c>
      <c r="Y366" s="12">
        <f t="shared" si="88"/>
        <v>36.788000000000004</v>
      </c>
      <c r="Z366" s="10">
        <f t="shared" si="89"/>
        <v>-1.1999999999993349E-2</v>
      </c>
      <c r="AA366" s="10">
        <f t="shared" si="90"/>
        <v>36.793999999999997</v>
      </c>
      <c r="AB366" s="10" t="s">
        <v>90</v>
      </c>
    </row>
    <row r="367" spans="1:28" ht="15" customHeight="1" x14ac:dyDescent="0.25">
      <c r="A367">
        <v>120</v>
      </c>
      <c r="B367" t="s">
        <v>68</v>
      </c>
      <c r="C367" t="s">
        <v>69</v>
      </c>
      <c r="D367" t="s">
        <v>12</v>
      </c>
      <c r="E367" t="s">
        <v>61</v>
      </c>
      <c r="F367" s="1">
        <v>45006</v>
      </c>
      <c r="G367" s="1">
        <v>45119</v>
      </c>
      <c r="H367">
        <f t="shared" si="78"/>
        <v>113</v>
      </c>
      <c r="I367" t="s">
        <v>38</v>
      </c>
      <c r="J367">
        <v>28.5</v>
      </c>
      <c r="K367">
        <v>140</v>
      </c>
      <c r="L367">
        <v>1</v>
      </c>
      <c r="M367">
        <v>1</v>
      </c>
      <c r="N367">
        <v>3</v>
      </c>
      <c r="O367" s="2">
        <v>30.06</v>
      </c>
      <c r="P367" s="3">
        <v>1.0645</v>
      </c>
      <c r="Q367" s="4">
        <v>0.50962962962962999</v>
      </c>
      <c r="R367" s="4">
        <v>0.75416666666666676</v>
      </c>
      <c r="T367" s="13">
        <v>36.799999999999997</v>
      </c>
      <c r="U367" s="10">
        <v>36.905000000000001</v>
      </c>
      <c r="V367" s="2">
        <f t="shared" si="87"/>
        <v>0.10500000000000398</v>
      </c>
      <c r="W367" s="2" t="str">
        <f t="shared" si="84"/>
        <v>5:52:08</v>
      </c>
      <c r="X367" s="10">
        <v>0.11700000000000001</v>
      </c>
      <c r="Y367" s="12">
        <f t="shared" si="88"/>
        <v>36.788000000000004</v>
      </c>
      <c r="Z367" s="10">
        <f t="shared" si="89"/>
        <v>-1.1999999999993349E-2</v>
      </c>
      <c r="AA367" s="10">
        <f t="shared" si="90"/>
        <v>36.793999999999997</v>
      </c>
      <c r="AB367" s="10" t="s">
        <v>90</v>
      </c>
    </row>
    <row r="368" spans="1:28" ht="15" customHeight="1" x14ac:dyDescent="0.25">
      <c r="A368">
        <v>110</v>
      </c>
      <c r="B368" t="s">
        <v>66</v>
      </c>
      <c r="C368" t="s">
        <v>67</v>
      </c>
      <c r="D368" t="s">
        <v>12</v>
      </c>
      <c r="E368" t="s">
        <v>61</v>
      </c>
      <c r="F368" s="1">
        <v>44992</v>
      </c>
      <c r="G368" s="1">
        <v>45120</v>
      </c>
      <c r="H368">
        <f t="shared" si="78"/>
        <v>128</v>
      </c>
      <c r="I368" t="s">
        <v>36</v>
      </c>
      <c r="J368">
        <v>28.5</v>
      </c>
      <c r="K368">
        <v>347</v>
      </c>
      <c r="L368">
        <v>2</v>
      </c>
      <c r="M368">
        <v>2</v>
      </c>
      <c r="N368">
        <v>1</v>
      </c>
      <c r="O368" s="2">
        <v>39.93</v>
      </c>
      <c r="P368" s="3">
        <v>1.0465</v>
      </c>
      <c r="Q368" s="4">
        <v>0.493229166666667</v>
      </c>
      <c r="R368" s="4">
        <v>0.7319444444444444</v>
      </c>
      <c r="T368" s="13">
        <v>36.799999999999997</v>
      </c>
      <c r="U368" s="10">
        <v>36.795999999999999</v>
      </c>
      <c r="V368" s="2">
        <f t="shared" si="87"/>
        <v>-3.9999999999977831E-3</v>
      </c>
      <c r="W368" s="2" t="str">
        <f t="shared" ref="W368:W399" si="91">TEXT(R368-Q368,"h:mm:ss")</f>
        <v>5:43:45</v>
      </c>
      <c r="X368" s="10">
        <v>0</v>
      </c>
      <c r="Y368" s="12">
        <f t="shared" si="88"/>
        <v>36.795999999999999</v>
      </c>
      <c r="Z368" s="10">
        <f t="shared" si="89"/>
        <v>-3.9999999999977831E-3</v>
      </c>
      <c r="AA368" s="10">
        <f t="shared" si="90"/>
        <v>36.798000000000002</v>
      </c>
      <c r="AB368" s="10" t="s">
        <v>90</v>
      </c>
    </row>
    <row r="369" spans="1:28" ht="15" customHeight="1" x14ac:dyDescent="0.25">
      <c r="A369">
        <v>110</v>
      </c>
      <c r="B369" t="s">
        <v>66</v>
      </c>
      <c r="C369" t="s">
        <v>67</v>
      </c>
      <c r="D369" t="s">
        <v>12</v>
      </c>
      <c r="E369" t="s">
        <v>61</v>
      </c>
      <c r="F369" s="1">
        <v>44992</v>
      </c>
      <c r="G369" s="1">
        <v>45120</v>
      </c>
      <c r="H369">
        <f t="shared" si="78"/>
        <v>128</v>
      </c>
      <c r="I369" t="s">
        <v>36</v>
      </c>
      <c r="J369">
        <v>28.5</v>
      </c>
      <c r="K369">
        <v>347</v>
      </c>
      <c r="L369">
        <v>2</v>
      </c>
      <c r="M369">
        <v>2</v>
      </c>
      <c r="N369">
        <v>2</v>
      </c>
      <c r="O369" s="2">
        <v>30.12</v>
      </c>
      <c r="P369" s="3">
        <v>1.0734999999999999</v>
      </c>
      <c r="Q369" s="4">
        <v>0.493229166666667</v>
      </c>
      <c r="R369" s="4">
        <v>0.7319444444444444</v>
      </c>
      <c r="T369" s="13">
        <v>36.799999999999997</v>
      </c>
      <c r="U369" s="10">
        <v>36.795999999999999</v>
      </c>
      <c r="V369" s="2">
        <f t="shared" si="87"/>
        <v>-3.9999999999977831E-3</v>
      </c>
      <c r="W369" s="2" t="str">
        <f t="shared" si="91"/>
        <v>5:43:45</v>
      </c>
      <c r="X369" s="10">
        <v>0</v>
      </c>
      <c r="Y369" s="12">
        <f t="shared" si="88"/>
        <v>36.795999999999999</v>
      </c>
      <c r="Z369" s="10">
        <f t="shared" si="89"/>
        <v>-3.9999999999977831E-3</v>
      </c>
      <c r="AA369" s="10">
        <f t="shared" si="90"/>
        <v>36.798000000000002</v>
      </c>
      <c r="AB369" s="10" t="s">
        <v>90</v>
      </c>
    </row>
    <row r="370" spans="1:28" ht="15" customHeight="1" x14ac:dyDescent="0.25">
      <c r="A370">
        <v>107</v>
      </c>
      <c r="B370" t="s">
        <v>59</v>
      </c>
      <c r="C370" t="s">
        <v>60</v>
      </c>
      <c r="D370" t="s">
        <v>12</v>
      </c>
      <c r="E370" t="s">
        <v>61</v>
      </c>
      <c r="F370" s="1">
        <v>44990</v>
      </c>
      <c r="G370" s="1">
        <v>45113</v>
      </c>
      <c r="H370">
        <f t="shared" si="78"/>
        <v>123</v>
      </c>
      <c r="I370" t="s">
        <v>37</v>
      </c>
      <c r="J370">
        <v>28.5</v>
      </c>
      <c r="K370">
        <v>141</v>
      </c>
      <c r="L370">
        <v>2</v>
      </c>
      <c r="M370">
        <v>3</v>
      </c>
      <c r="N370">
        <v>3</v>
      </c>
      <c r="O370" s="2">
        <v>34.17</v>
      </c>
      <c r="P370" s="3">
        <v>1.6454</v>
      </c>
      <c r="Q370" s="4">
        <v>0.48844907407407401</v>
      </c>
      <c r="R370" s="4">
        <v>0.7284722222222223</v>
      </c>
      <c r="T370" s="13">
        <v>36.85</v>
      </c>
      <c r="U370" s="10">
        <v>36.905000000000001</v>
      </c>
      <c r="V370" s="2">
        <f t="shared" si="87"/>
        <v>5.4999999999999716E-2</v>
      </c>
      <c r="W370" s="2" t="str">
        <f t="shared" si="91"/>
        <v>5:45:38</v>
      </c>
      <c r="X370" s="10">
        <v>0.124</v>
      </c>
      <c r="Y370" s="12">
        <f t="shared" si="88"/>
        <v>36.780999999999999</v>
      </c>
      <c r="Z370" s="10">
        <f t="shared" si="89"/>
        <v>-6.9000000000002615E-2</v>
      </c>
      <c r="AA370" s="10">
        <f t="shared" si="90"/>
        <v>36.8155</v>
      </c>
      <c r="AB370" s="10" t="s">
        <v>90</v>
      </c>
    </row>
    <row r="371" spans="1:28" ht="15" customHeight="1" x14ac:dyDescent="0.25">
      <c r="A371">
        <v>110</v>
      </c>
      <c r="B371" t="s">
        <v>66</v>
      </c>
      <c r="C371" t="s">
        <v>67</v>
      </c>
      <c r="D371" t="s">
        <v>12</v>
      </c>
      <c r="E371" t="s">
        <v>61</v>
      </c>
      <c r="F371" s="1">
        <v>44992</v>
      </c>
      <c r="G371" s="1">
        <v>45119</v>
      </c>
      <c r="H371">
        <f t="shared" si="78"/>
        <v>127</v>
      </c>
      <c r="I371" t="s">
        <v>38</v>
      </c>
      <c r="J371">
        <v>28.5</v>
      </c>
      <c r="K371">
        <v>335</v>
      </c>
      <c r="L371">
        <v>1</v>
      </c>
      <c r="M371">
        <v>2</v>
      </c>
      <c r="N371">
        <v>2</v>
      </c>
      <c r="O371" s="2">
        <v>34.19</v>
      </c>
      <c r="P371" s="3">
        <v>1.5544</v>
      </c>
      <c r="Q371" s="4">
        <v>0.50962962962962999</v>
      </c>
      <c r="R371" s="4">
        <v>0.75277777777777777</v>
      </c>
      <c r="T371" s="13"/>
      <c r="U371" s="10">
        <v>36.878</v>
      </c>
      <c r="V371" s="2"/>
      <c r="W371" s="2" t="str">
        <f t="shared" si="91"/>
        <v>5:50:08</v>
      </c>
      <c r="X371" s="10">
        <v>5.6599999999999998E-2</v>
      </c>
      <c r="Y371" s="12">
        <f t="shared" si="88"/>
        <v>36.821399999999997</v>
      </c>
      <c r="AA371" s="10">
        <f t="shared" si="90"/>
        <v>36.821399999999997</v>
      </c>
      <c r="AB371" s="10" t="s">
        <v>90</v>
      </c>
    </row>
    <row r="372" spans="1:28" ht="15" customHeight="1" x14ac:dyDescent="0.25">
      <c r="A372">
        <v>120</v>
      </c>
      <c r="B372" t="s">
        <v>68</v>
      </c>
      <c r="C372" t="s">
        <v>69</v>
      </c>
      <c r="D372" t="s">
        <v>12</v>
      </c>
      <c r="E372" t="s">
        <v>61</v>
      </c>
      <c r="F372" s="1">
        <v>45006</v>
      </c>
      <c r="G372" s="1">
        <v>45114</v>
      </c>
      <c r="H372">
        <f t="shared" si="78"/>
        <v>108</v>
      </c>
      <c r="J372">
        <v>31.5</v>
      </c>
      <c r="K372">
        <v>326</v>
      </c>
      <c r="L372">
        <v>2</v>
      </c>
      <c r="O372" s="2">
        <v>31.02</v>
      </c>
      <c r="P372" s="3">
        <v>1.0624</v>
      </c>
      <c r="Q372" s="4">
        <v>0.547372685185185</v>
      </c>
      <c r="R372" s="4">
        <v>0.79305555555555562</v>
      </c>
      <c r="S372" s="2"/>
      <c r="T372" s="13"/>
      <c r="V372" s="10"/>
      <c r="W372" s="2" t="str">
        <f t="shared" si="91"/>
        <v>5:53:47</v>
      </c>
      <c r="Y372" s="12"/>
      <c r="AA372" s="10">
        <v>36.83</v>
      </c>
      <c r="AB372" s="10" t="s">
        <v>91</v>
      </c>
    </row>
    <row r="373" spans="1:28" ht="15" customHeight="1" x14ac:dyDescent="0.25">
      <c r="A373">
        <v>120</v>
      </c>
      <c r="B373" t="s">
        <v>68</v>
      </c>
      <c r="C373" t="s">
        <v>69</v>
      </c>
      <c r="D373" t="s">
        <v>12</v>
      </c>
      <c r="E373" t="s">
        <v>61</v>
      </c>
      <c r="F373" s="1">
        <v>45006</v>
      </c>
      <c r="G373" s="1">
        <v>45119</v>
      </c>
      <c r="H373">
        <f t="shared" si="78"/>
        <v>113</v>
      </c>
      <c r="I373" t="s">
        <v>38</v>
      </c>
      <c r="J373">
        <v>28.5</v>
      </c>
      <c r="K373">
        <v>140</v>
      </c>
      <c r="L373">
        <v>1</v>
      </c>
      <c r="M373">
        <v>1</v>
      </c>
      <c r="N373">
        <v>2</v>
      </c>
      <c r="O373" s="2">
        <v>28.97</v>
      </c>
      <c r="P373" s="3">
        <v>0.94240000000000002</v>
      </c>
      <c r="Q373" s="4">
        <v>0.50962962962962965</v>
      </c>
      <c r="R373" s="4">
        <v>0.75763888888888886</v>
      </c>
      <c r="T373" s="13">
        <v>36.799999999999997</v>
      </c>
      <c r="U373" s="10">
        <v>36.987000000000002</v>
      </c>
      <c r="V373" s="8">
        <f>U373-T373</f>
        <v>0.18700000000000472</v>
      </c>
      <c r="W373" s="2" t="str">
        <f t="shared" si="91"/>
        <v>5:57:08</v>
      </c>
      <c r="X373" s="10">
        <v>0.11700000000000001</v>
      </c>
      <c r="Y373" s="12">
        <f>U373-X373</f>
        <v>36.870000000000005</v>
      </c>
      <c r="Z373" s="10">
        <f>Y373-T373</f>
        <v>7.000000000000739E-2</v>
      </c>
      <c r="AA373" s="10">
        <f>AVERAGE(Y373,T373)</f>
        <v>36.835000000000001</v>
      </c>
      <c r="AB373" s="10" t="s">
        <v>90</v>
      </c>
    </row>
    <row r="374" spans="1:28" ht="15" customHeight="1" x14ac:dyDescent="0.25">
      <c r="A374">
        <v>110</v>
      </c>
      <c r="B374" t="s">
        <v>66</v>
      </c>
      <c r="C374" t="s">
        <v>67</v>
      </c>
      <c r="D374" t="s">
        <v>12</v>
      </c>
      <c r="E374" t="s">
        <v>61</v>
      </c>
      <c r="F374" s="1">
        <v>44992</v>
      </c>
      <c r="G374" s="1">
        <v>45117</v>
      </c>
      <c r="H374">
        <f t="shared" si="78"/>
        <v>125</v>
      </c>
      <c r="J374">
        <v>28.5</v>
      </c>
      <c r="K374">
        <v>347</v>
      </c>
      <c r="L374">
        <v>2</v>
      </c>
      <c r="O374" s="2">
        <v>35.14</v>
      </c>
      <c r="P374" s="3">
        <v>1.7269000000000001</v>
      </c>
      <c r="Q374" s="4">
        <v>0.55208333333333304</v>
      </c>
      <c r="R374" s="4">
        <v>0.80972222222222223</v>
      </c>
      <c r="S374" s="2"/>
      <c r="T374" s="13"/>
      <c r="V374" s="10"/>
      <c r="W374" s="2" t="str">
        <f t="shared" si="91"/>
        <v>6:11:00</v>
      </c>
      <c r="Y374" s="12"/>
      <c r="AA374" s="10">
        <v>36.85</v>
      </c>
      <c r="AB374" s="10" t="s">
        <v>91</v>
      </c>
    </row>
    <row r="375" spans="1:28" ht="15" customHeight="1" x14ac:dyDescent="0.25">
      <c r="A375">
        <v>107</v>
      </c>
      <c r="B375" t="s">
        <v>59</v>
      </c>
      <c r="C375" t="s">
        <v>60</v>
      </c>
      <c r="D375" t="s">
        <v>12</v>
      </c>
      <c r="E375" t="s">
        <v>61</v>
      </c>
      <c r="F375" s="1">
        <v>44990</v>
      </c>
      <c r="G375" s="1">
        <v>45113</v>
      </c>
      <c r="H375">
        <f t="shared" si="78"/>
        <v>123</v>
      </c>
      <c r="I375" t="s">
        <v>36</v>
      </c>
      <c r="J375">
        <v>31.5</v>
      </c>
      <c r="K375">
        <v>123</v>
      </c>
      <c r="L375">
        <v>2</v>
      </c>
      <c r="M375">
        <v>3</v>
      </c>
      <c r="N375">
        <v>3</v>
      </c>
      <c r="O375" s="2">
        <v>38.71</v>
      </c>
      <c r="P375" s="3">
        <v>2.4996999999999998</v>
      </c>
      <c r="Q375" s="4">
        <v>0.48844907407407401</v>
      </c>
      <c r="R375" s="4">
        <v>0.73125000000000007</v>
      </c>
      <c r="T375" s="13"/>
      <c r="U375" s="10">
        <v>36.987000000000002</v>
      </c>
      <c r="V375" s="2"/>
      <c r="W375" s="2" t="str">
        <f t="shared" si="91"/>
        <v>5:49:38</v>
      </c>
      <c r="X375" s="10">
        <v>0.124</v>
      </c>
      <c r="Y375" s="12">
        <f>U375-X375</f>
        <v>36.863</v>
      </c>
      <c r="AA375" s="10">
        <f>AVERAGE(Y375,T375)</f>
        <v>36.863</v>
      </c>
      <c r="AB375" s="10" t="s">
        <v>90</v>
      </c>
    </row>
    <row r="376" spans="1:28" ht="15" customHeight="1" x14ac:dyDescent="0.25">
      <c r="A376">
        <v>110</v>
      </c>
      <c r="B376" t="s">
        <v>66</v>
      </c>
      <c r="C376" t="s">
        <v>67</v>
      </c>
      <c r="D376" t="s">
        <v>12</v>
      </c>
      <c r="E376" t="s">
        <v>61</v>
      </c>
      <c r="F376" s="1">
        <v>44992</v>
      </c>
      <c r="G376" s="1">
        <v>45120</v>
      </c>
      <c r="H376">
        <f t="shared" si="78"/>
        <v>128</v>
      </c>
      <c r="I376" t="s">
        <v>36</v>
      </c>
      <c r="J376">
        <v>28.5</v>
      </c>
      <c r="K376">
        <v>347</v>
      </c>
      <c r="L376">
        <v>2</v>
      </c>
      <c r="M376">
        <v>2</v>
      </c>
      <c r="N376">
        <v>5</v>
      </c>
      <c r="O376" s="2">
        <v>32.26</v>
      </c>
      <c r="P376" s="3">
        <v>1.3647</v>
      </c>
      <c r="Q376" s="4">
        <v>0.493229166666667</v>
      </c>
      <c r="R376" s="4">
        <v>0.73402777777777783</v>
      </c>
      <c r="T376" s="13">
        <v>36.9</v>
      </c>
      <c r="U376" s="10">
        <v>36.850999999999999</v>
      </c>
      <c r="V376" s="2">
        <f>U376-T376</f>
        <v>-4.8999999999999488E-2</v>
      </c>
      <c r="W376" s="2" t="str">
        <f t="shared" si="91"/>
        <v>5:46:45</v>
      </c>
      <c r="X376" s="10">
        <v>0</v>
      </c>
      <c r="Y376" s="12">
        <f>U376-X376</f>
        <v>36.850999999999999</v>
      </c>
      <c r="Z376" s="10">
        <f>Y376-T376</f>
        <v>-4.8999999999999488E-2</v>
      </c>
      <c r="AA376" s="10">
        <f>AVERAGE(Y376,T376)</f>
        <v>36.875500000000002</v>
      </c>
      <c r="AB376" s="10" t="s">
        <v>90</v>
      </c>
    </row>
    <row r="377" spans="1:28" ht="15" customHeight="1" x14ac:dyDescent="0.25">
      <c r="A377">
        <v>110</v>
      </c>
      <c r="B377" t="s">
        <v>66</v>
      </c>
      <c r="C377" t="s">
        <v>67</v>
      </c>
      <c r="D377" t="s">
        <v>12</v>
      </c>
      <c r="E377" t="s">
        <v>61</v>
      </c>
      <c r="F377" s="1">
        <v>44992</v>
      </c>
      <c r="G377" s="1">
        <v>45120</v>
      </c>
      <c r="H377">
        <f t="shared" si="78"/>
        <v>128</v>
      </c>
      <c r="I377" t="s">
        <v>36</v>
      </c>
      <c r="J377">
        <v>28.5</v>
      </c>
      <c r="K377">
        <v>347</v>
      </c>
      <c r="L377">
        <v>2</v>
      </c>
      <c r="M377">
        <v>2</v>
      </c>
      <c r="N377">
        <v>4</v>
      </c>
      <c r="O377" s="2">
        <v>34.130000000000003</v>
      </c>
      <c r="P377" s="3">
        <v>1.6246</v>
      </c>
      <c r="Q377" s="4">
        <v>0.493229166666667</v>
      </c>
      <c r="R377" s="4">
        <v>0.73402777777777783</v>
      </c>
      <c r="T377" s="13">
        <v>36.9</v>
      </c>
      <c r="U377" s="10">
        <v>36.850999999999999</v>
      </c>
      <c r="V377" s="2">
        <f>U377-T377</f>
        <v>-4.8999999999999488E-2</v>
      </c>
      <c r="W377" s="2" t="str">
        <f t="shared" si="91"/>
        <v>5:46:45</v>
      </c>
      <c r="X377" s="10">
        <v>0</v>
      </c>
      <c r="Y377" s="12">
        <f>U377-X377</f>
        <v>36.850999999999999</v>
      </c>
      <c r="Z377" s="10">
        <f>Y377-T377</f>
        <v>-4.8999999999999488E-2</v>
      </c>
      <c r="AA377" s="10">
        <f>AVERAGE(Y377,T377)</f>
        <v>36.875500000000002</v>
      </c>
      <c r="AB377" s="10" t="s">
        <v>90</v>
      </c>
    </row>
    <row r="378" spans="1:28" ht="15" customHeight="1" x14ac:dyDescent="0.25">
      <c r="A378">
        <v>107</v>
      </c>
      <c r="B378" t="s">
        <v>59</v>
      </c>
      <c r="C378" t="s">
        <v>60</v>
      </c>
      <c r="D378" t="s">
        <v>12</v>
      </c>
      <c r="E378" t="s">
        <v>61</v>
      </c>
      <c r="F378" s="1">
        <v>44990</v>
      </c>
      <c r="G378" s="1">
        <v>45113</v>
      </c>
      <c r="H378">
        <f t="shared" si="78"/>
        <v>123</v>
      </c>
      <c r="I378" t="s">
        <v>37</v>
      </c>
      <c r="J378">
        <v>28.5</v>
      </c>
      <c r="K378">
        <v>141</v>
      </c>
      <c r="L378">
        <v>2</v>
      </c>
      <c r="M378">
        <v>3</v>
      </c>
      <c r="N378">
        <v>2</v>
      </c>
      <c r="O378" s="2">
        <v>35.630000000000003</v>
      </c>
      <c r="P378" s="3">
        <v>1.9077999999999999</v>
      </c>
      <c r="Q378" s="4">
        <v>0.48844907407407401</v>
      </c>
      <c r="R378" s="4">
        <v>0.73333333333333339</v>
      </c>
      <c r="T378" s="13">
        <v>36.85</v>
      </c>
      <c r="U378" s="10">
        <v>37.042000000000002</v>
      </c>
      <c r="V378" s="2"/>
      <c r="W378" s="2" t="str">
        <f t="shared" si="91"/>
        <v>5:52:38</v>
      </c>
      <c r="X378" s="10">
        <v>0.124</v>
      </c>
      <c r="Y378" s="12">
        <f>U378-X378</f>
        <v>36.917999999999999</v>
      </c>
      <c r="Z378" s="10">
        <f>Y378-T378</f>
        <v>6.799999999999784E-2</v>
      </c>
      <c r="AA378" s="10">
        <f>AVERAGE(Y378,T378)</f>
        <v>36.884</v>
      </c>
      <c r="AB378" s="10" t="s">
        <v>90</v>
      </c>
    </row>
    <row r="379" spans="1:28" ht="15" customHeight="1" x14ac:dyDescent="0.25">
      <c r="A379">
        <v>110</v>
      </c>
      <c r="B379" t="s">
        <v>66</v>
      </c>
      <c r="C379" t="s">
        <v>67</v>
      </c>
      <c r="D379" t="s">
        <v>12</v>
      </c>
      <c r="E379" t="s">
        <v>61</v>
      </c>
      <c r="F379" s="1">
        <v>44992</v>
      </c>
      <c r="G379" s="1">
        <v>45120</v>
      </c>
      <c r="H379">
        <f t="shared" si="78"/>
        <v>128</v>
      </c>
      <c r="I379" t="s">
        <v>37</v>
      </c>
      <c r="J379">
        <v>30</v>
      </c>
      <c r="K379">
        <v>329</v>
      </c>
      <c r="L379">
        <v>1</v>
      </c>
      <c r="M379">
        <v>2</v>
      </c>
      <c r="N379">
        <v>1</v>
      </c>
      <c r="O379" s="2">
        <v>31.98</v>
      </c>
      <c r="P379" s="3">
        <v>1.2992999999999999</v>
      </c>
      <c r="Q379" s="4">
        <v>0.493229166666667</v>
      </c>
      <c r="R379" s="4">
        <v>0.73611111111111116</v>
      </c>
      <c r="T379" s="13">
        <v>36.9</v>
      </c>
      <c r="U379" s="10">
        <v>36.878</v>
      </c>
      <c r="V379" s="2">
        <f>U379-T379</f>
        <v>-2.1999999999998465E-2</v>
      </c>
      <c r="W379" s="2" t="str">
        <f t="shared" si="91"/>
        <v>5:49:45</v>
      </c>
      <c r="X379" s="10">
        <v>0</v>
      </c>
      <c r="Y379" s="12">
        <f>U379-X379</f>
        <v>36.878</v>
      </c>
      <c r="Z379" s="10">
        <f>Y379-T379</f>
        <v>-2.1999999999998465E-2</v>
      </c>
      <c r="AA379" s="10">
        <f>AVERAGE(Y379,T379)</f>
        <v>36.888999999999996</v>
      </c>
      <c r="AB379" s="10" t="s">
        <v>90</v>
      </c>
    </row>
    <row r="380" spans="1:28" ht="15" customHeight="1" x14ac:dyDescent="0.25">
      <c r="A380">
        <v>107</v>
      </c>
      <c r="B380" t="s">
        <v>59</v>
      </c>
      <c r="C380" t="s">
        <v>60</v>
      </c>
      <c r="D380" t="s">
        <v>12</v>
      </c>
      <c r="E380" t="s">
        <v>61</v>
      </c>
      <c r="F380" s="1">
        <v>44990</v>
      </c>
      <c r="G380" s="1">
        <v>45117</v>
      </c>
      <c r="H380">
        <f t="shared" si="78"/>
        <v>127</v>
      </c>
      <c r="J380">
        <v>30</v>
      </c>
      <c r="K380">
        <v>149</v>
      </c>
      <c r="L380">
        <v>1</v>
      </c>
      <c r="O380" s="2">
        <v>34.14</v>
      </c>
      <c r="P380" s="3">
        <v>1.4995000000000001</v>
      </c>
      <c r="Q380" s="4">
        <v>0.55208333333333337</v>
      </c>
      <c r="R380" s="4">
        <v>0.81319444444444444</v>
      </c>
      <c r="S380" s="2"/>
      <c r="T380" s="13"/>
      <c r="V380" s="10"/>
      <c r="W380" s="2" t="str">
        <f t="shared" si="91"/>
        <v>6:16:00</v>
      </c>
      <c r="Y380" s="12"/>
      <c r="AA380" s="10">
        <v>36.89</v>
      </c>
      <c r="AB380" s="10" t="s">
        <v>91</v>
      </c>
    </row>
    <row r="381" spans="1:28" ht="15" customHeight="1" x14ac:dyDescent="0.25">
      <c r="A381">
        <v>107</v>
      </c>
      <c r="B381" t="s">
        <v>59</v>
      </c>
      <c r="C381" t="s">
        <v>60</v>
      </c>
      <c r="D381" t="s">
        <v>12</v>
      </c>
      <c r="E381" t="s">
        <v>61</v>
      </c>
      <c r="F381" s="1">
        <v>44990</v>
      </c>
      <c r="G381" s="1">
        <v>45113</v>
      </c>
      <c r="H381">
        <f t="shared" si="78"/>
        <v>123</v>
      </c>
      <c r="I381" t="s">
        <v>38</v>
      </c>
      <c r="J381">
        <v>30</v>
      </c>
      <c r="K381">
        <v>149</v>
      </c>
      <c r="L381">
        <v>1</v>
      </c>
      <c r="M381">
        <v>3</v>
      </c>
      <c r="N381">
        <v>3</v>
      </c>
      <c r="O381" s="2">
        <v>25.72</v>
      </c>
      <c r="P381" s="3">
        <v>0.67649999999999999</v>
      </c>
      <c r="Q381" s="4">
        <v>0.48844907407407401</v>
      </c>
      <c r="R381" s="4">
        <v>0.7319444444444444</v>
      </c>
      <c r="T381" s="13"/>
      <c r="U381" s="10">
        <v>37.015000000000001</v>
      </c>
      <c r="V381" s="2"/>
      <c r="W381" s="2" t="str">
        <f t="shared" si="91"/>
        <v>5:50:38</v>
      </c>
      <c r="X381" s="10">
        <v>0.124</v>
      </c>
      <c r="Y381" s="12">
        <f t="shared" ref="Y381:Y390" si="92">U381-X381</f>
        <v>36.890999999999998</v>
      </c>
      <c r="AA381" s="10">
        <f t="shared" ref="AA381:AA390" si="93">AVERAGE(Y381,T381)</f>
        <v>36.890999999999998</v>
      </c>
      <c r="AB381" s="10" t="s">
        <v>90</v>
      </c>
    </row>
    <row r="382" spans="1:28" ht="15" customHeight="1" x14ac:dyDescent="0.25">
      <c r="A382">
        <v>107</v>
      </c>
      <c r="B382" t="s">
        <v>59</v>
      </c>
      <c r="C382" t="s">
        <v>60</v>
      </c>
      <c r="D382" t="s">
        <v>12</v>
      </c>
      <c r="E382" t="s">
        <v>61</v>
      </c>
      <c r="F382" s="1">
        <v>44990</v>
      </c>
      <c r="G382" s="1">
        <v>45113</v>
      </c>
      <c r="H382">
        <f t="shared" si="78"/>
        <v>123</v>
      </c>
      <c r="I382" t="s">
        <v>38</v>
      </c>
      <c r="J382">
        <v>30</v>
      </c>
      <c r="K382">
        <v>149</v>
      </c>
      <c r="L382">
        <v>1</v>
      </c>
      <c r="M382">
        <v>3</v>
      </c>
      <c r="N382">
        <v>1</v>
      </c>
      <c r="O382" s="2">
        <v>27.44</v>
      </c>
      <c r="P382" s="3">
        <v>0.79400000000000004</v>
      </c>
      <c r="Q382" s="4">
        <v>0.48844907407407401</v>
      </c>
      <c r="R382" s="4">
        <v>0.7319444444444444</v>
      </c>
      <c r="T382" s="13"/>
      <c r="U382" s="10">
        <v>37.015000000000001</v>
      </c>
      <c r="V382" s="2"/>
      <c r="W382" s="2" t="str">
        <f t="shared" si="91"/>
        <v>5:50:38</v>
      </c>
      <c r="X382" s="10">
        <v>0.124</v>
      </c>
      <c r="Y382" s="12">
        <f t="shared" si="92"/>
        <v>36.890999999999998</v>
      </c>
      <c r="AA382" s="10">
        <f t="shared" si="93"/>
        <v>36.890999999999998</v>
      </c>
      <c r="AB382" s="10" t="s">
        <v>90</v>
      </c>
    </row>
    <row r="383" spans="1:28" ht="15" customHeight="1" x14ac:dyDescent="0.25">
      <c r="A383">
        <v>120</v>
      </c>
      <c r="B383" t="s">
        <v>68</v>
      </c>
      <c r="C383" t="s">
        <v>69</v>
      </c>
      <c r="D383" t="s">
        <v>12</v>
      </c>
      <c r="E383" t="s">
        <v>61</v>
      </c>
      <c r="F383" s="1">
        <v>45006</v>
      </c>
      <c r="G383" s="1">
        <v>45119</v>
      </c>
      <c r="H383">
        <f t="shared" si="78"/>
        <v>113</v>
      </c>
      <c r="I383" t="s">
        <v>38</v>
      </c>
      <c r="J383">
        <v>28.5</v>
      </c>
      <c r="K383">
        <v>140</v>
      </c>
      <c r="L383">
        <v>1</v>
      </c>
      <c r="M383">
        <v>1</v>
      </c>
      <c r="N383">
        <v>5</v>
      </c>
      <c r="O383" s="2">
        <v>34.58</v>
      </c>
      <c r="P383" s="3">
        <v>1.6329</v>
      </c>
      <c r="Q383" s="4">
        <v>0.50962962962962999</v>
      </c>
      <c r="R383" s="4">
        <v>0.75902777777777775</v>
      </c>
      <c r="T383" s="13"/>
      <c r="U383" s="10">
        <v>37.015000000000001</v>
      </c>
      <c r="V383" s="2"/>
      <c r="W383" s="2" t="str">
        <f t="shared" si="91"/>
        <v>5:59:08</v>
      </c>
      <c r="X383" s="10">
        <v>0.11700000000000001</v>
      </c>
      <c r="Y383" s="12">
        <f t="shared" si="92"/>
        <v>36.898000000000003</v>
      </c>
      <c r="AA383" s="10">
        <f t="shared" si="93"/>
        <v>36.898000000000003</v>
      </c>
      <c r="AB383" s="10" t="s">
        <v>90</v>
      </c>
    </row>
    <row r="384" spans="1:28" ht="15" customHeight="1" x14ac:dyDescent="0.25">
      <c r="A384">
        <v>120</v>
      </c>
      <c r="B384" t="s">
        <v>68</v>
      </c>
      <c r="C384" t="s">
        <v>69</v>
      </c>
      <c r="D384" t="s">
        <v>12</v>
      </c>
      <c r="E384" t="s">
        <v>61</v>
      </c>
      <c r="F384" s="1">
        <v>45006</v>
      </c>
      <c r="G384" s="1">
        <v>45119</v>
      </c>
      <c r="H384">
        <f t="shared" si="78"/>
        <v>113</v>
      </c>
      <c r="I384" t="s">
        <v>36</v>
      </c>
      <c r="J384">
        <v>31.5</v>
      </c>
      <c r="K384">
        <v>326</v>
      </c>
      <c r="L384">
        <v>2</v>
      </c>
      <c r="M384">
        <v>1</v>
      </c>
      <c r="N384">
        <v>4</v>
      </c>
      <c r="O384" s="2">
        <v>27.43</v>
      </c>
      <c r="P384" s="3">
        <v>0.81399999999999995</v>
      </c>
      <c r="Q384" s="4">
        <v>0.50962962962962999</v>
      </c>
      <c r="R384" s="4">
        <v>0.75902777777777775</v>
      </c>
      <c r="T384" s="13"/>
      <c r="U384" s="10">
        <v>37.015000000000001</v>
      </c>
      <c r="V384" s="2"/>
      <c r="W384" s="2" t="str">
        <f t="shared" si="91"/>
        <v>5:59:08</v>
      </c>
      <c r="X384" s="10">
        <v>0.11700000000000001</v>
      </c>
      <c r="Y384" s="12">
        <f t="shared" si="92"/>
        <v>36.898000000000003</v>
      </c>
      <c r="AA384" s="10">
        <f t="shared" si="93"/>
        <v>36.898000000000003</v>
      </c>
      <c r="AB384" s="10" t="s">
        <v>90</v>
      </c>
    </row>
    <row r="385" spans="1:28" ht="15" customHeight="1" x14ac:dyDescent="0.25">
      <c r="A385">
        <v>120</v>
      </c>
      <c r="B385" t="s">
        <v>68</v>
      </c>
      <c r="C385" t="s">
        <v>69</v>
      </c>
      <c r="D385" t="s">
        <v>12</v>
      </c>
      <c r="E385" t="s">
        <v>61</v>
      </c>
      <c r="F385" s="1">
        <v>45006</v>
      </c>
      <c r="G385" s="1">
        <v>45119</v>
      </c>
      <c r="H385">
        <f t="shared" si="78"/>
        <v>113</v>
      </c>
      <c r="I385" t="s">
        <v>36</v>
      </c>
      <c r="J385">
        <v>31.5</v>
      </c>
      <c r="K385">
        <v>326</v>
      </c>
      <c r="L385">
        <v>2</v>
      </c>
      <c r="M385">
        <v>1</v>
      </c>
      <c r="N385">
        <v>1</v>
      </c>
      <c r="O385" s="2">
        <v>30.8</v>
      </c>
      <c r="P385" s="3">
        <v>1.1589</v>
      </c>
      <c r="Q385" s="4">
        <v>0.50962962962962999</v>
      </c>
      <c r="R385" s="4">
        <v>0.75902777777777775</v>
      </c>
      <c r="T385" s="13"/>
      <c r="U385" s="10">
        <v>37.015000000000001</v>
      </c>
      <c r="V385" s="2"/>
      <c r="W385" s="2" t="str">
        <f t="shared" si="91"/>
        <v>5:59:08</v>
      </c>
      <c r="X385" s="10">
        <v>0.11700000000000001</v>
      </c>
      <c r="Y385" s="12">
        <f t="shared" si="92"/>
        <v>36.898000000000003</v>
      </c>
      <c r="AA385" s="10">
        <f t="shared" si="93"/>
        <v>36.898000000000003</v>
      </c>
      <c r="AB385" s="10" t="s">
        <v>90</v>
      </c>
    </row>
    <row r="386" spans="1:28" ht="15" customHeight="1" x14ac:dyDescent="0.25">
      <c r="A386">
        <v>110</v>
      </c>
      <c r="B386" t="s">
        <v>66</v>
      </c>
      <c r="C386" t="s">
        <v>67</v>
      </c>
      <c r="D386" t="s">
        <v>12</v>
      </c>
      <c r="E386" t="s">
        <v>61</v>
      </c>
      <c r="F386" s="1">
        <v>44992</v>
      </c>
      <c r="G386" s="1">
        <v>45119</v>
      </c>
      <c r="H386">
        <f t="shared" ref="H386:H449" si="94">G386-F386</f>
        <v>127</v>
      </c>
      <c r="I386" t="s">
        <v>38</v>
      </c>
      <c r="J386">
        <v>28.5</v>
      </c>
      <c r="K386">
        <v>335</v>
      </c>
      <c r="L386">
        <v>1</v>
      </c>
      <c r="M386">
        <v>2</v>
      </c>
      <c r="N386">
        <v>5</v>
      </c>
      <c r="O386" s="2">
        <v>32.479999999999997</v>
      </c>
      <c r="P386" s="3">
        <v>1.4035</v>
      </c>
      <c r="Q386" s="4">
        <v>0.50962962962962999</v>
      </c>
      <c r="R386" s="4">
        <v>0.75624999999999998</v>
      </c>
      <c r="T386" s="13"/>
      <c r="U386" s="10">
        <v>36.96</v>
      </c>
      <c r="V386" s="2"/>
      <c r="W386" s="2" t="str">
        <f t="shared" si="91"/>
        <v>5:55:08</v>
      </c>
      <c r="X386" s="10">
        <v>5.6599999999999998E-2</v>
      </c>
      <c r="Y386" s="12">
        <f t="shared" si="92"/>
        <v>36.903399999999998</v>
      </c>
      <c r="AA386" s="10">
        <f t="shared" si="93"/>
        <v>36.903399999999998</v>
      </c>
      <c r="AB386" s="10" t="s">
        <v>90</v>
      </c>
    </row>
    <row r="387" spans="1:28" ht="15" customHeight="1" x14ac:dyDescent="0.25">
      <c r="A387">
        <v>110</v>
      </c>
      <c r="B387" t="s">
        <v>66</v>
      </c>
      <c r="C387" t="s">
        <v>67</v>
      </c>
      <c r="D387" t="s">
        <v>12</v>
      </c>
      <c r="E387" t="s">
        <v>61</v>
      </c>
      <c r="F387" s="1">
        <v>44992</v>
      </c>
      <c r="G387" s="1">
        <v>45119</v>
      </c>
      <c r="H387">
        <f t="shared" si="94"/>
        <v>127</v>
      </c>
      <c r="I387" t="s">
        <v>37</v>
      </c>
      <c r="J387">
        <v>30</v>
      </c>
      <c r="K387">
        <v>151</v>
      </c>
      <c r="L387">
        <v>2</v>
      </c>
      <c r="M387">
        <v>2</v>
      </c>
      <c r="N387">
        <v>2</v>
      </c>
      <c r="O387" s="2">
        <v>31.49</v>
      </c>
      <c r="P387" s="3">
        <v>1.3242</v>
      </c>
      <c r="Q387" s="4">
        <v>0.50962962962962999</v>
      </c>
      <c r="R387" s="4">
        <v>0.75624999999999998</v>
      </c>
      <c r="T387" s="13"/>
      <c r="U387" s="10">
        <v>36.96</v>
      </c>
      <c r="V387" s="2"/>
      <c r="W387" s="2" t="str">
        <f t="shared" si="91"/>
        <v>5:55:08</v>
      </c>
      <c r="X387" s="10">
        <v>5.6599999999999998E-2</v>
      </c>
      <c r="Y387" s="12">
        <f t="shared" si="92"/>
        <v>36.903399999999998</v>
      </c>
      <c r="AA387" s="10">
        <f t="shared" si="93"/>
        <v>36.903399999999998</v>
      </c>
      <c r="AB387" s="10" t="s">
        <v>90</v>
      </c>
    </row>
    <row r="388" spans="1:28" ht="15" customHeight="1" x14ac:dyDescent="0.25">
      <c r="A388">
        <v>110</v>
      </c>
      <c r="B388" t="s">
        <v>66</v>
      </c>
      <c r="C388" t="s">
        <v>67</v>
      </c>
      <c r="D388" t="s">
        <v>12</v>
      </c>
      <c r="E388" t="s">
        <v>61</v>
      </c>
      <c r="F388" s="1">
        <v>44992</v>
      </c>
      <c r="G388" s="1">
        <v>45120</v>
      </c>
      <c r="H388">
        <f t="shared" si="94"/>
        <v>128</v>
      </c>
      <c r="I388" t="s">
        <v>36</v>
      </c>
      <c r="J388">
        <v>28.5</v>
      </c>
      <c r="K388">
        <v>347</v>
      </c>
      <c r="L388">
        <v>2</v>
      </c>
      <c r="M388">
        <v>2</v>
      </c>
      <c r="N388">
        <v>3</v>
      </c>
      <c r="O388" s="2">
        <v>33.17</v>
      </c>
      <c r="P388" s="3">
        <v>1.5130999999999999</v>
      </c>
      <c r="Q388" s="4">
        <v>0.493229166666667</v>
      </c>
      <c r="R388" s="4">
        <v>0.73749999999999993</v>
      </c>
      <c r="T388" s="13"/>
      <c r="U388" s="10">
        <v>36.905000000000001</v>
      </c>
      <c r="V388" s="2"/>
      <c r="W388" s="2" t="str">
        <f t="shared" si="91"/>
        <v>5:51:45</v>
      </c>
      <c r="X388" s="10">
        <v>0</v>
      </c>
      <c r="Y388" s="12">
        <f t="shared" si="92"/>
        <v>36.905000000000001</v>
      </c>
      <c r="AA388" s="10">
        <f t="shared" si="93"/>
        <v>36.905000000000001</v>
      </c>
      <c r="AB388" s="10" t="s">
        <v>90</v>
      </c>
    </row>
    <row r="389" spans="1:28" ht="15" customHeight="1" x14ac:dyDescent="0.25">
      <c r="A389">
        <v>107</v>
      </c>
      <c r="B389" t="s">
        <v>59</v>
      </c>
      <c r="C389" t="s">
        <v>60</v>
      </c>
      <c r="D389" t="s">
        <v>12</v>
      </c>
      <c r="E389" t="s">
        <v>61</v>
      </c>
      <c r="F389" s="1">
        <v>44990</v>
      </c>
      <c r="G389" s="1">
        <v>45113</v>
      </c>
      <c r="H389">
        <f t="shared" si="94"/>
        <v>123</v>
      </c>
      <c r="I389" t="s">
        <v>37</v>
      </c>
      <c r="J389">
        <v>28.5</v>
      </c>
      <c r="K389">
        <v>141</v>
      </c>
      <c r="L389">
        <v>2</v>
      </c>
      <c r="M389">
        <v>3</v>
      </c>
      <c r="N389">
        <v>4</v>
      </c>
      <c r="O389" s="2">
        <v>37.94</v>
      </c>
      <c r="P389" s="3">
        <v>2.2505999999999999</v>
      </c>
      <c r="Q389" s="4">
        <v>0.48844907407407401</v>
      </c>
      <c r="R389" s="4">
        <v>0.73402777777777783</v>
      </c>
      <c r="T389" s="13">
        <v>36.9</v>
      </c>
      <c r="U389" s="10">
        <v>37.042000000000002</v>
      </c>
      <c r="V389" s="2">
        <f>U389-T389</f>
        <v>0.14200000000000301</v>
      </c>
      <c r="W389" s="2" t="str">
        <f t="shared" si="91"/>
        <v>5:53:38</v>
      </c>
      <c r="X389" s="10">
        <v>0.124</v>
      </c>
      <c r="Y389" s="12">
        <f t="shared" si="92"/>
        <v>36.917999999999999</v>
      </c>
      <c r="Z389" s="10">
        <f>Y389-T389</f>
        <v>1.8000000000000682E-2</v>
      </c>
      <c r="AA389" s="10">
        <f t="shared" si="93"/>
        <v>36.908999999999999</v>
      </c>
      <c r="AB389" s="10" t="s">
        <v>90</v>
      </c>
    </row>
    <row r="390" spans="1:28" ht="15" customHeight="1" x14ac:dyDescent="0.25">
      <c r="A390">
        <v>107</v>
      </c>
      <c r="B390" t="s">
        <v>59</v>
      </c>
      <c r="C390" t="s">
        <v>60</v>
      </c>
      <c r="D390" t="s">
        <v>12</v>
      </c>
      <c r="E390" t="s">
        <v>61</v>
      </c>
      <c r="F390" s="1">
        <v>44990</v>
      </c>
      <c r="G390" s="1">
        <v>45113</v>
      </c>
      <c r="H390">
        <f t="shared" si="94"/>
        <v>123</v>
      </c>
      <c r="I390" t="s">
        <v>38</v>
      </c>
      <c r="J390">
        <v>30</v>
      </c>
      <c r="K390">
        <v>149</v>
      </c>
      <c r="L390">
        <v>1</v>
      </c>
      <c r="M390">
        <v>3</v>
      </c>
      <c r="N390">
        <v>5</v>
      </c>
      <c r="O390" s="2">
        <v>30.6</v>
      </c>
      <c r="P390" s="3">
        <v>1.1499999999999999</v>
      </c>
      <c r="Q390" s="4">
        <v>0.48844907407407401</v>
      </c>
      <c r="R390" s="4">
        <v>0.73402777777777783</v>
      </c>
      <c r="T390" s="13">
        <v>36.9</v>
      </c>
      <c r="U390" s="10">
        <v>37.042000000000002</v>
      </c>
      <c r="V390" s="2">
        <f>U390-T390</f>
        <v>0.14200000000000301</v>
      </c>
      <c r="W390" s="2" t="str">
        <f t="shared" si="91"/>
        <v>5:53:38</v>
      </c>
      <c r="X390" s="10">
        <v>0.124</v>
      </c>
      <c r="Y390" s="12">
        <f t="shared" si="92"/>
        <v>36.917999999999999</v>
      </c>
      <c r="Z390" s="10">
        <f>Y390-T390</f>
        <v>1.8000000000000682E-2</v>
      </c>
      <c r="AA390" s="10">
        <f t="shared" si="93"/>
        <v>36.908999999999999</v>
      </c>
      <c r="AB390" s="10" t="s">
        <v>90</v>
      </c>
    </row>
    <row r="391" spans="1:28" ht="15" customHeight="1" x14ac:dyDescent="0.25">
      <c r="A391">
        <v>110</v>
      </c>
      <c r="B391" t="s">
        <v>66</v>
      </c>
      <c r="C391" t="s">
        <v>67</v>
      </c>
      <c r="D391" t="s">
        <v>12</v>
      </c>
      <c r="E391" t="s">
        <v>61</v>
      </c>
      <c r="F391" s="1">
        <v>44992</v>
      </c>
      <c r="G391" s="1">
        <v>45119</v>
      </c>
      <c r="H391">
        <f t="shared" si="94"/>
        <v>127</v>
      </c>
      <c r="J391">
        <v>30</v>
      </c>
      <c r="K391">
        <v>329</v>
      </c>
      <c r="L391">
        <v>1</v>
      </c>
      <c r="O391" s="2">
        <v>35.049999999999997</v>
      </c>
      <c r="P391" s="3">
        <v>1.5472999999999999</v>
      </c>
      <c r="Q391" s="4">
        <v>0.50962962962962999</v>
      </c>
      <c r="R391" s="4">
        <v>0.75763888888888886</v>
      </c>
      <c r="S391" s="2"/>
      <c r="T391" s="13"/>
      <c r="V391" s="10"/>
      <c r="W391" s="2" t="str">
        <f t="shared" si="91"/>
        <v>5:57:08</v>
      </c>
      <c r="Y391" s="12"/>
      <c r="AA391" s="10">
        <v>36.909999999999997</v>
      </c>
      <c r="AB391" s="10" t="s">
        <v>91</v>
      </c>
    </row>
    <row r="392" spans="1:28" ht="15" customHeight="1" x14ac:dyDescent="0.25">
      <c r="A392">
        <v>107</v>
      </c>
      <c r="B392" t="s">
        <v>59</v>
      </c>
      <c r="C392" t="s">
        <v>60</v>
      </c>
      <c r="D392" t="s">
        <v>12</v>
      </c>
      <c r="E392" t="s">
        <v>61</v>
      </c>
      <c r="F392" s="1">
        <v>44990</v>
      </c>
      <c r="G392" s="1">
        <v>45120</v>
      </c>
      <c r="H392">
        <f t="shared" si="94"/>
        <v>130</v>
      </c>
      <c r="I392" t="s">
        <v>36</v>
      </c>
      <c r="J392">
        <v>28.5</v>
      </c>
      <c r="K392">
        <v>247</v>
      </c>
      <c r="L392">
        <v>1</v>
      </c>
      <c r="M392">
        <v>6</v>
      </c>
      <c r="N392">
        <v>4</v>
      </c>
      <c r="O392" s="2">
        <v>31.74</v>
      </c>
      <c r="P392" s="3">
        <v>1.3596999999999999</v>
      </c>
      <c r="Q392" s="4">
        <v>0.493229166666667</v>
      </c>
      <c r="R392" s="4">
        <v>0.7416666666666667</v>
      </c>
      <c r="T392" s="13">
        <v>37</v>
      </c>
      <c r="U392" s="10">
        <v>36.878</v>
      </c>
      <c r="V392" s="2">
        <f>U392-T392</f>
        <v>-0.12199999999999989</v>
      </c>
      <c r="W392" s="2" t="str">
        <f t="shared" si="91"/>
        <v>5:57:45</v>
      </c>
      <c r="X392" s="10">
        <v>5.5E-2</v>
      </c>
      <c r="Y392" s="12">
        <f>U392-X392</f>
        <v>36.823</v>
      </c>
      <c r="Z392" s="11">
        <f>Y392-T392</f>
        <v>-0.1769999999999996</v>
      </c>
      <c r="AA392" s="10">
        <f>AVERAGE(Y392,T392)</f>
        <v>36.911500000000004</v>
      </c>
      <c r="AB392" s="10" t="s">
        <v>90</v>
      </c>
    </row>
    <row r="393" spans="1:28" ht="15" customHeight="1" x14ac:dyDescent="0.25">
      <c r="A393">
        <v>107</v>
      </c>
      <c r="B393" t="s">
        <v>59</v>
      </c>
      <c r="C393" t="s">
        <v>60</v>
      </c>
      <c r="D393" t="s">
        <v>12</v>
      </c>
      <c r="E393" t="s">
        <v>61</v>
      </c>
      <c r="F393" s="1">
        <v>44990</v>
      </c>
      <c r="G393" s="1">
        <v>45120</v>
      </c>
      <c r="H393">
        <f t="shared" si="94"/>
        <v>130</v>
      </c>
      <c r="I393" t="s">
        <v>37</v>
      </c>
      <c r="J393">
        <v>30</v>
      </c>
      <c r="K393">
        <v>231</v>
      </c>
      <c r="L393">
        <v>2</v>
      </c>
      <c r="M393">
        <v>6</v>
      </c>
      <c r="N393">
        <v>3</v>
      </c>
      <c r="O393" s="2">
        <v>27.31</v>
      </c>
      <c r="P393" s="3">
        <v>0.8034</v>
      </c>
      <c r="Q393" s="4">
        <v>0.493229166666667</v>
      </c>
      <c r="R393" s="4">
        <v>0.7416666666666667</v>
      </c>
      <c r="T393" s="13">
        <v>37</v>
      </c>
      <c r="U393" s="10">
        <v>36.878</v>
      </c>
      <c r="V393" s="2">
        <f>U393-T393</f>
        <v>-0.12199999999999989</v>
      </c>
      <c r="W393" s="2" t="str">
        <f t="shared" si="91"/>
        <v>5:57:45</v>
      </c>
      <c r="X393" s="10">
        <v>5.5E-2</v>
      </c>
      <c r="Y393" s="12">
        <f>U393-X393</f>
        <v>36.823</v>
      </c>
      <c r="Z393" s="11">
        <f>Y393-T393</f>
        <v>-0.1769999999999996</v>
      </c>
      <c r="AA393" s="10">
        <f>AVERAGE(Y393,T393)</f>
        <v>36.911500000000004</v>
      </c>
      <c r="AB393" s="10" t="s">
        <v>90</v>
      </c>
    </row>
    <row r="394" spans="1:28" ht="15" customHeight="1" x14ac:dyDescent="0.25">
      <c r="A394">
        <v>107</v>
      </c>
      <c r="B394" t="s">
        <v>59</v>
      </c>
      <c r="C394" t="s">
        <v>60</v>
      </c>
      <c r="D394" t="s">
        <v>12</v>
      </c>
      <c r="E394" t="s">
        <v>61</v>
      </c>
      <c r="F394" s="1">
        <v>44990</v>
      </c>
      <c r="G394" s="1">
        <v>45120</v>
      </c>
      <c r="H394">
        <f t="shared" si="94"/>
        <v>130</v>
      </c>
      <c r="I394" t="s">
        <v>37</v>
      </c>
      <c r="J394">
        <v>30</v>
      </c>
      <c r="K394">
        <v>231</v>
      </c>
      <c r="L394">
        <v>2</v>
      </c>
      <c r="M394">
        <v>6</v>
      </c>
      <c r="N394">
        <v>1</v>
      </c>
      <c r="O394" s="2">
        <v>30.58</v>
      </c>
      <c r="P394" s="3">
        <v>1.288</v>
      </c>
      <c r="Q394" s="4">
        <v>0.493229166666667</v>
      </c>
      <c r="R394" s="4">
        <v>0.7416666666666667</v>
      </c>
      <c r="T394" s="13">
        <v>37</v>
      </c>
      <c r="U394" s="10">
        <v>36.878</v>
      </c>
      <c r="V394" s="2">
        <f>U394-T394</f>
        <v>-0.12199999999999989</v>
      </c>
      <c r="W394" s="2" t="str">
        <f t="shared" si="91"/>
        <v>5:57:45</v>
      </c>
      <c r="X394" s="10">
        <v>5.5E-2</v>
      </c>
      <c r="Y394" s="12">
        <f>U394-X394</f>
        <v>36.823</v>
      </c>
      <c r="Z394" s="11">
        <f>Y394-T394</f>
        <v>-0.1769999999999996</v>
      </c>
      <c r="AA394" s="10">
        <f>AVERAGE(Y394,T394)</f>
        <v>36.911500000000004</v>
      </c>
      <c r="AB394" s="10" t="s">
        <v>90</v>
      </c>
    </row>
    <row r="395" spans="1:28" ht="15" customHeight="1" x14ac:dyDescent="0.25">
      <c r="A395">
        <v>107</v>
      </c>
      <c r="B395" t="s">
        <v>59</v>
      </c>
      <c r="C395" t="s">
        <v>60</v>
      </c>
      <c r="D395" t="s">
        <v>12</v>
      </c>
      <c r="E395" t="s">
        <v>61</v>
      </c>
      <c r="F395" s="1">
        <v>44990</v>
      </c>
      <c r="G395" s="1">
        <v>45121</v>
      </c>
      <c r="H395">
        <f t="shared" si="94"/>
        <v>131</v>
      </c>
      <c r="J395">
        <v>30</v>
      </c>
      <c r="K395">
        <v>149</v>
      </c>
      <c r="L395">
        <v>1</v>
      </c>
      <c r="O395" s="2">
        <v>32.520000000000003</v>
      </c>
      <c r="P395" s="3">
        <v>1.3943000000000001</v>
      </c>
      <c r="Q395" s="4">
        <v>0.47916666666666669</v>
      </c>
      <c r="R395" s="4">
        <v>0.73263888888888884</v>
      </c>
      <c r="S395" s="2"/>
      <c r="T395" s="13"/>
      <c r="V395" s="10"/>
      <c r="W395" s="2" t="str">
        <f t="shared" si="91"/>
        <v>6:05:00</v>
      </c>
      <c r="Y395" s="12"/>
      <c r="AA395" s="10">
        <v>36.93</v>
      </c>
      <c r="AB395" s="10" t="s">
        <v>91</v>
      </c>
    </row>
    <row r="396" spans="1:28" ht="15" customHeight="1" x14ac:dyDescent="0.25">
      <c r="A396">
        <v>107</v>
      </c>
      <c r="B396" t="s">
        <v>59</v>
      </c>
      <c r="C396" t="s">
        <v>60</v>
      </c>
      <c r="D396" t="s">
        <v>12</v>
      </c>
      <c r="E396" t="s">
        <v>61</v>
      </c>
      <c r="F396" s="1">
        <v>44990</v>
      </c>
      <c r="G396" s="1">
        <v>45113</v>
      </c>
      <c r="H396">
        <f t="shared" si="94"/>
        <v>123</v>
      </c>
      <c r="I396" t="s">
        <v>38</v>
      </c>
      <c r="J396">
        <v>30</v>
      </c>
      <c r="K396">
        <v>149</v>
      </c>
      <c r="L396">
        <v>1</v>
      </c>
      <c r="M396">
        <v>3</v>
      </c>
      <c r="N396">
        <v>4</v>
      </c>
      <c r="O396" s="2">
        <v>31.32</v>
      </c>
      <c r="P396" s="3">
        <v>1.1915</v>
      </c>
      <c r="Q396" s="4">
        <v>0.48844907407407401</v>
      </c>
      <c r="R396" s="4">
        <v>0.73541666666666661</v>
      </c>
      <c r="T396" s="13">
        <v>36.9</v>
      </c>
      <c r="U396" s="10">
        <v>37.095999999999997</v>
      </c>
      <c r="V396" s="8">
        <f>U396-T396</f>
        <v>0.19599999999999795</v>
      </c>
      <c r="W396" s="2" t="str">
        <f t="shared" si="91"/>
        <v>5:55:38</v>
      </c>
      <c r="X396" s="10">
        <v>0.124</v>
      </c>
      <c r="Y396" s="12">
        <f t="shared" ref="Y396:Y404" si="95">U396-X396</f>
        <v>36.971999999999994</v>
      </c>
      <c r="Z396" s="10">
        <f>Y396-T396</f>
        <v>7.1999999999995623E-2</v>
      </c>
      <c r="AA396" s="10">
        <f t="shared" ref="AA396:AA404" si="96">AVERAGE(Y396,T396)</f>
        <v>36.935999999999993</v>
      </c>
      <c r="AB396" s="10" t="s">
        <v>90</v>
      </c>
    </row>
    <row r="397" spans="1:28" ht="15" customHeight="1" x14ac:dyDescent="0.25">
      <c r="A397">
        <v>120</v>
      </c>
      <c r="B397" t="s">
        <v>68</v>
      </c>
      <c r="C397" t="s">
        <v>69</v>
      </c>
      <c r="D397" t="s">
        <v>12</v>
      </c>
      <c r="E397" t="s">
        <v>61</v>
      </c>
      <c r="F397" s="1">
        <v>45006</v>
      </c>
      <c r="G397" s="1">
        <v>45119</v>
      </c>
      <c r="H397">
        <f t="shared" si="94"/>
        <v>113</v>
      </c>
      <c r="I397" t="s">
        <v>37</v>
      </c>
      <c r="J397">
        <v>30</v>
      </c>
      <c r="K397">
        <v>333</v>
      </c>
      <c r="L397">
        <v>2</v>
      </c>
      <c r="M397">
        <v>1</v>
      </c>
      <c r="N397">
        <v>2</v>
      </c>
      <c r="O397" s="2">
        <v>27.57</v>
      </c>
      <c r="P397" s="3">
        <v>0.79339999999999999</v>
      </c>
      <c r="Q397" s="4">
        <v>0.50962962962962999</v>
      </c>
      <c r="R397" s="4">
        <v>0.76111111111111107</v>
      </c>
      <c r="T397" s="13"/>
      <c r="U397" s="10">
        <v>37.069000000000003</v>
      </c>
      <c r="V397" s="2"/>
      <c r="W397" s="2" t="str">
        <f t="shared" si="91"/>
        <v>6:02:08</v>
      </c>
      <c r="X397" s="10">
        <v>0.11700000000000001</v>
      </c>
      <c r="Y397" s="12">
        <f t="shared" si="95"/>
        <v>36.952000000000005</v>
      </c>
      <c r="AA397" s="10">
        <f t="shared" si="96"/>
        <v>36.952000000000005</v>
      </c>
      <c r="AB397" s="10" t="s">
        <v>90</v>
      </c>
    </row>
    <row r="398" spans="1:28" ht="15" customHeight="1" x14ac:dyDescent="0.25">
      <c r="A398">
        <v>120</v>
      </c>
      <c r="B398" t="s">
        <v>68</v>
      </c>
      <c r="C398" t="s">
        <v>69</v>
      </c>
      <c r="D398" t="s">
        <v>12</v>
      </c>
      <c r="E398" t="s">
        <v>61</v>
      </c>
      <c r="F398" s="1">
        <v>45006</v>
      </c>
      <c r="G398" s="1">
        <v>45119</v>
      </c>
      <c r="H398">
        <f t="shared" si="94"/>
        <v>113</v>
      </c>
      <c r="I398" t="s">
        <v>37</v>
      </c>
      <c r="J398">
        <v>30</v>
      </c>
      <c r="K398">
        <v>333</v>
      </c>
      <c r="L398">
        <v>2</v>
      </c>
      <c r="M398">
        <v>1</v>
      </c>
      <c r="N398">
        <v>5</v>
      </c>
      <c r="O398" s="2">
        <v>29.05</v>
      </c>
      <c r="P398" s="3">
        <v>0.9395</v>
      </c>
      <c r="Q398" s="4">
        <v>0.50962962962962999</v>
      </c>
      <c r="R398" s="4">
        <v>0.76111111111111107</v>
      </c>
      <c r="T398" s="13"/>
      <c r="U398" s="10">
        <v>37.069000000000003</v>
      </c>
      <c r="V398" s="2"/>
      <c r="W398" s="2" t="str">
        <f t="shared" si="91"/>
        <v>6:02:08</v>
      </c>
      <c r="X398" s="10">
        <v>0.11700000000000001</v>
      </c>
      <c r="Y398" s="12">
        <f t="shared" si="95"/>
        <v>36.952000000000005</v>
      </c>
      <c r="AA398" s="10">
        <f t="shared" si="96"/>
        <v>36.952000000000005</v>
      </c>
      <c r="AB398" s="10" t="s">
        <v>90</v>
      </c>
    </row>
    <row r="399" spans="1:28" ht="15" customHeight="1" x14ac:dyDescent="0.25">
      <c r="A399">
        <v>107</v>
      </c>
      <c r="B399" t="s">
        <v>59</v>
      </c>
      <c r="C399" t="s">
        <v>60</v>
      </c>
      <c r="D399" t="s">
        <v>12</v>
      </c>
      <c r="E399" t="s">
        <v>61</v>
      </c>
      <c r="F399" s="1">
        <v>44990</v>
      </c>
      <c r="G399" s="1">
        <v>45120</v>
      </c>
      <c r="H399">
        <f t="shared" si="94"/>
        <v>130</v>
      </c>
      <c r="I399" t="s">
        <v>37</v>
      </c>
      <c r="J399">
        <v>30</v>
      </c>
      <c r="K399">
        <v>231</v>
      </c>
      <c r="L399">
        <v>2</v>
      </c>
      <c r="M399">
        <v>6</v>
      </c>
      <c r="N399">
        <v>5</v>
      </c>
      <c r="O399" s="2">
        <v>29.36</v>
      </c>
      <c r="P399" s="3">
        <v>0.97909999999999997</v>
      </c>
      <c r="Q399" s="4">
        <v>0.493229166666667</v>
      </c>
      <c r="R399" s="4">
        <v>0.74444444444444446</v>
      </c>
      <c r="T399" s="13">
        <v>37</v>
      </c>
      <c r="U399" s="10">
        <v>36.96</v>
      </c>
      <c r="V399" s="2">
        <f>U399-T399</f>
        <v>-3.9999999999999147E-2</v>
      </c>
      <c r="W399" s="2" t="str">
        <f t="shared" si="91"/>
        <v>6:01:45</v>
      </c>
      <c r="X399" s="10">
        <v>5.5E-2</v>
      </c>
      <c r="Y399" s="12">
        <f t="shared" si="95"/>
        <v>36.905000000000001</v>
      </c>
      <c r="Z399" s="10">
        <f>Y399-T399</f>
        <v>-9.4999999999998863E-2</v>
      </c>
      <c r="AA399" s="10">
        <f t="shared" si="96"/>
        <v>36.952500000000001</v>
      </c>
      <c r="AB399" s="10" t="s">
        <v>90</v>
      </c>
    </row>
    <row r="400" spans="1:28" ht="15" customHeight="1" x14ac:dyDescent="0.25">
      <c r="A400">
        <v>107</v>
      </c>
      <c r="B400" t="s">
        <v>59</v>
      </c>
      <c r="C400" t="s">
        <v>60</v>
      </c>
      <c r="D400" t="s">
        <v>12</v>
      </c>
      <c r="E400" t="s">
        <v>61</v>
      </c>
      <c r="F400" s="1">
        <v>44990</v>
      </c>
      <c r="G400" s="1">
        <v>45120</v>
      </c>
      <c r="H400">
        <f t="shared" si="94"/>
        <v>130</v>
      </c>
      <c r="I400" t="s">
        <v>37</v>
      </c>
      <c r="J400">
        <v>30</v>
      </c>
      <c r="K400">
        <v>231</v>
      </c>
      <c r="L400">
        <v>2</v>
      </c>
      <c r="M400">
        <v>6</v>
      </c>
      <c r="N400">
        <v>2</v>
      </c>
      <c r="O400" s="2">
        <v>35.25</v>
      </c>
      <c r="P400" s="3">
        <v>1.8019000000000001</v>
      </c>
      <c r="Q400" s="4">
        <v>0.493229166666667</v>
      </c>
      <c r="R400" s="4">
        <v>0.74444444444444446</v>
      </c>
      <c r="T400" s="13">
        <v>37</v>
      </c>
      <c r="U400" s="10">
        <v>36.96</v>
      </c>
      <c r="V400" s="2">
        <f>U400-T400</f>
        <v>-3.9999999999999147E-2</v>
      </c>
      <c r="W400" s="2" t="str">
        <f t="shared" ref="W400:W431" si="97">TEXT(R400-Q400,"h:mm:ss")</f>
        <v>6:01:45</v>
      </c>
      <c r="X400" s="10">
        <v>5.5E-2</v>
      </c>
      <c r="Y400" s="12">
        <f t="shared" si="95"/>
        <v>36.905000000000001</v>
      </c>
      <c r="Z400" s="10">
        <f>Y400-T400</f>
        <v>-9.4999999999998863E-2</v>
      </c>
      <c r="AA400" s="10">
        <f t="shared" si="96"/>
        <v>36.952500000000001</v>
      </c>
      <c r="AB400" s="10" t="s">
        <v>90</v>
      </c>
    </row>
    <row r="401" spans="1:28" ht="15" customHeight="1" x14ac:dyDescent="0.25">
      <c r="A401">
        <v>107</v>
      </c>
      <c r="B401" t="s">
        <v>59</v>
      </c>
      <c r="C401" t="s">
        <v>60</v>
      </c>
      <c r="D401" t="s">
        <v>12</v>
      </c>
      <c r="E401" t="s">
        <v>61</v>
      </c>
      <c r="F401" s="1">
        <v>44990</v>
      </c>
      <c r="G401" s="1">
        <v>45120</v>
      </c>
      <c r="H401">
        <f t="shared" si="94"/>
        <v>130</v>
      </c>
      <c r="I401" t="s">
        <v>37</v>
      </c>
      <c r="J401">
        <v>30</v>
      </c>
      <c r="K401">
        <v>231</v>
      </c>
      <c r="L401">
        <v>2</v>
      </c>
      <c r="M401">
        <v>6</v>
      </c>
      <c r="N401">
        <v>4</v>
      </c>
      <c r="O401" s="2">
        <v>26.39</v>
      </c>
      <c r="P401" s="3">
        <v>0.68400000000000005</v>
      </c>
      <c r="Q401" s="4">
        <v>0.493229166666667</v>
      </c>
      <c r="R401" s="4">
        <v>0.74722222222222223</v>
      </c>
      <c r="T401" s="13"/>
      <c r="U401" s="10">
        <v>37.015000000000001</v>
      </c>
      <c r="V401" s="2"/>
      <c r="W401" s="2" t="str">
        <f t="shared" si="97"/>
        <v>6:05:45</v>
      </c>
      <c r="X401" s="10">
        <v>5.5E-2</v>
      </c>
      <c r="Y401" s="12">
        <f t="shared" si="95"/>
        <v>36.96</v>
      </c>
      <c r="AA401" s="10">
        <f t="shared" si="96"/>
        <v>36.96</v>
      </c>
      <c r="AB401" s="10" t="s">
        <v>90</v>
      </c>
    </row>
    <row r="402" spans="1:28" ht="15" customHeight="1" x14ac:dyDescent="0.25">
      <c r="A402">
        <v>107</v>
      </c>
      <c r="B402" t="s">
        <v>59</v>
      </c>
      <c r="C402" t="s">
        <v>60</v>
      </c>
      <c r="D402" t="s">
        <v>12</v>
      </c>
      <c r="E402" t="s">
        <v>61</v>
      </c>
      <c r="F402" s="1">
        <v>44990</v>
      </c>
      <c r="G402" s="1">
        <v>45113</v>
      </c>
      <c r="H402">
        <f t="shared" si="94"/>
        <v>123</v>
      </c>
      <c r="I402" t="s">
        <v>37</v>
      </c>
      <c r="J402">
        <v>28.5</v>
      </c>
      <c r="K402">
        <v>141</v>
      </c>
      <c r="L402">
        <v>2</v>
      </c>
      <c r="M402">
        <v>3</v>
      </c>
      <c r="N402">
        <v>1</v>
      </c>
      <c r="O402" s="2">
        <v>35.409999999999997</v>
      </c>
      <c r="P402" s="3">
        <v>1.9214</v>
      </c>
      <c r="Q402" s="4">
        <v>0.48844907407407401</v>
      </c>
      <c r="R402" s="4">
        <v>0.73958333333333337</v>
      </c>
      <c r="T402" s="13">
        <v>36.9</v>
      </c>
      <c r="U402" s="10">
        <v>37.151000000000003</v>
      </c>
      <c r="V402" s="8">
        <f>U402-T402</f>
        <v>0.25100000000000477</v>
      </c>
      <c r="W402" s="2" t="str">
        <f t="shared" si="97"/>
        <v>6:01:38</v>
      </c>
      <c r="X402" s="10">
        <v>0.124</v>
      </c>
      <c r="Y402" s="12">
        <f t="shared" si="95"/>
        <v>37.027000000000001</v>
      </c>
      <c r="Z402" s="10">
        <f>Y402-T402</f>
        <v>0.12700000000000244</v>
      </c>
      <c r="AA402" s="10">
        <f t="shared" si="96"/>
        <v>36.963499999999996</v>
      </c>
      <c r="AB402" s="10" t="s">
        <v>90</v>
      </c>
    </row>
    <row r="403" spans="1:28" ht="15" customHeight="1" x14ac:dyDescent="0.25">
      <c r="A403">
        <v>107</v>
      </c>
      <c r="B403" t="s">
        <v>59</v>
      </c>
      <c r="C403" t="s">
        <v>60</v>
      </c>
      <c r="D403" t="s">
        <v>12</v>
      </c>
      <c r="E403" t="s">
        <v>61</v>
      </c>
      <c r="F403" s="1">
        <v>44990</v>
      </c>
      <c r="G403" s="1">
        <v>45113</v>
      </c>
      <c r="H403">
        <f t="shared" si="94"/>
        <v>123</v>
      </c>
      <c r="I403" t="s">
        <v>38</v>
      </c>
      <c r="J403">
        <v>30</v>
      </c>
      <c r="K403">
        <v>149</v>
      </c>
      <c r="L403">
        <v>1</v>
      </c>
      <c r="M403">
        <v>3</v>
      </c>
      <c r="N403">
        <v>2</v>
      </c>
      <c r="O403" s="2">
        <v>34.51</v>
      </c>
      <c r="P403" s="3">
        <v>1.7822</v>
      </c>
      <c r="Q403" s="4">
        <v>0.48844907407407401</v>
      </c>
      <c r="R403" s="4">
        <v>0.73749999999999993</v>
      </c>
      <c r="T403" s="13">
        <v>36.9</v>
      </c>
      <c r="U403" s="10">
        <v>37.151000000000003</v>
      </c>
      <c r="V403" s="8">
        <f>U403-T403</f>
        <v>0.25100000000000477</v>
      </c>
      <c r="W403" s="2" t="str">
        <f t="shared" si="97"/>
        <v>5:58:38</v>
      </c>
      <c r="X403" s="10">
        <v>0.124</v>
      </c>
      <c r="Y403" s="12">
        <f t="shared" si="95"/>
        <v>37.027000000000001</v>
      </c>
      <c r="Z403" s="10">
        <f>Y403-T403</f>
        <v>0.12700000000000244</v>
      </c>
      <c r="AA403" s="10">
        <f t="shared" si="96"/>
        <v>36.963499999999996</v>
      </c>
      <c r="AB403" s="10" t="s">
        <v>90</v>
      </c>
    </row>
    <row r="404" spans="1:28" ht="15" customHeight="1" x14ac:dyDescent="0.25">
      <c r="A404">
        <v>120</v>
      </c>
      <c r="B404" t="s">
        <v>68</v>
      </c>
      <c r="C404" t="s">
        <v>69</v>
      </c>
      <c r="D404" t="s">
        <v>12</v>
      </c>
      <c r="E404" t="s">
        <v>61</v>
      </c>
      <c r="F404" s="1">
        <v>45006</v>
      </c>
      <c r="G404" s="1">
        <v>45119</v>
      </c>
      <c r="H404">
        <f t="shared" si="94"/>
        <v>113</v>
      </c>
      <c r="I404" t="s">
        <v>37</v>
      </c>
      <c r="J404">
        <v>30</v>
      </c>
      <c r="K404">
        <v>333</v>
      </c>
      <c r="L404">
        <v>2</v>
      </c>
      <c r="M404">
        <v>1</v>
      </c>
      <c r="N404">
        <v>4</v>
      </c>
      <c r="O404" s="2">
        <v>34.630000000000003</v>
      </c>
      <c r="P404" s="3">
        <v>1.8217000000000001</v>
      </c>
      <c r="Q404" s="4">
        <v>0.50962962962962999</v>
      </c>
      <c r="R404" s="4">
        <v>0.76250000000000007</v>
      </c>
      <c r="T404" s="13"/>
      <c r="U404" s="10">
        <v>37.095999999999997</v>
      </c>
      <c r="V404" s="2"/>
      <c r="W404" s="2" t="str">
        <f t="shared" si="97"/>
        <v>6:04:08</v>
      </c>
      <c r="X404" s="10">
        <v>0.11700000000000001</v>
      </c>
      <c r="Y404" s="12">
        <f t="shared" si="95"/>
        <v>36.978999999999999</v>
      </c>
      <c r="AA404" s="10">
        <f t="shared" si="96"/>
        <v>36.978999999999999</v>
      </c>
      <c r="AB404" s="10" t="s">
        <v>90</v>
      </c>
    </row>
    <row r="405" spans="1:28" ht="15" customHeight="1" x14ac:dyDescent="0.25">
      <c r="A405">
        <v>107</v>
      </c>
      <c r="B405" t="s">
        <v>59</v>
      </c>
      <c r="C405" t="s">
        <v>60</v>
      </c>
      <c r="D405" t="s">
        <v>12</v>
      </c>
      <c r="E405" t="s">
        <v>61</v>
      </c>
      <c r="F405" s="1">
        <v>44990</v>
      </c>
      <c r="G405" s="1">
        <v>45118</v>
      </c>
      <c r="H405">
        <f t="shared" si="94"/>
        <v>128</v>
      </c>
      <c r="J405">
        <v>28.5</v>
      </c>
      <c r="K405">
        <v>141</v>
      </c>
      <c r="L405">
        <v>2</v>
      </c>
      <c r="O405" s="2">
        <v>33.700000000000003</v>
      </c>
      <c r="P405" s="3">
        <v>1.4097</v>
      </c>
      <c r="Q405" s="4">
        <v>0.55416666666666703</v>
      </c>
      <c r="R405" s="4">
        <v>0.80763888888888891</v>
      </c>
      <c r="S405" s="2"/>
      <c r="T405" s="13"/>
      <c r="V405" s="10"/>
      <c r="W405" s="2" t="str">
        <f t="shared" si="97"/>
        <v>6:05:00</v>
      </c>
      <c r="Y405" s="12"/>
      <c r="AA405" s="10">
        <v>36.979999999999997</v>
      </c>
      <c r="AB405" s="10" t="s">
        <v>91</v>
      </c>
    </row>
    <row r="406" spans="1:28" ht="15" customHeight="1" x14ac:dyDescent="0.25">
      <c r="A406">
        <v>120</v>
      </c>
      <c r="B406" t="s">
        <v>68</v>
      </c>
      <c r="C406" t="s">
        <v>69</v>
      </c>
      <c r="D406" t="s">
        <v>12</v>
      </c>
      <c r="E406" t="s">
        <v>61</v>
      </c>
      <c r="F406" s="1">
        <v>45006</v>
      </c>
      <c r="G406" s="1">
        <v>45114</v>
      </c>
      <c r="H406">
        <f t="shared" si="94"/>
        <v>108</v>
      </c>
      <c r="J406">
        <v>31.5</v>
      </c>
      <c r="K406">
        <v>326</v>
      </c>
      <c r="L406">
        <v>2</v>
      </c>
      <c r="O406" s="2">
        <v>30.86</v>
      </c>
      <c r="P406" s="3">
        <v>1.0806</v>
      </c>
      <c r="Q406" s="4">
        <v>0.54737268518518511</v>
      </c>
      <c r="R406" s="4">
        <v>0.79652777777777783</v>
      </c>
      <c r="S406" s="2"/>
      <c r="T406" s="13"/>
      <c r="V406" s="10"/>
      <c r="W406" s="2" t="str">
        <f t="shared" si="97"/>
        <v>5:58:47</v>
      </c>
      <c r="Y406" s="12"/>
      <c r="AA406" s="10">
        <v>36.979999999999997</v>
      </c>
      <c r="AB406" s="10" t="s">
        <v>91</v>
      </c>
    </row>
    <row r="407" spans="1:28" ht="15" customHeight="1" x14ac:dyDescent="0.25">
      <c r="A407">
        <v>107</v>
      </c>
      <c r="B407" t="s">
        <v>59</v>
      </c>
      <c r="C407" t="s">
        <v>60</v>
      </c>
      <c r="D407" t="s">
        <v>12</v>
      </c>
      <c r="E407" t="s">
        <v>61</v>
      </c>
      <c r="F407" s="1">
        <v>44990</v>
      </c>
      <c r="G407" s="1">
        <v>45118</v>
      </c>
      <c r="H407">
        <f t="shared" si="94"/>
        <v>128</v>
      </c>
      <c r="J407">
        <v>28.5</v>
      </c>
      <c r="K407">
        <v>141</v>
      </c>
      <c r="L407">
        <v>2</v>
      </c>
      <c r="O407" s="2">
        <v>32.090000000000003</v>
      </c>
      <c r="P407" s="3">
        <v>1.3202</v>
      </c>
      <c r="Q407" s="4">
        <v>0.55416666666666703</v>
      </c>
      <c r="R407" s="4">
        <v>0.80972222222222223</v>
      </c>
      <c r="S407" s="2"/>
      <c r="T407" s="13"/>
      <c r="V407" s="10"/>
      <c r="W407" s="2" t="str">
        <f t="shared" si="97"/>
        <v>6:08:00</v>
      </c>
      <c r="Y407" s="12"/>
      <c r="AA407" s="10">
        <v>36.99</v>
      </c>
      <c r="AB407" s="10" t="s">
        <v>91</v>
      </c>
    </row>
    <row r="408" spans="1:28" ht="15" customHeight="1" x14ac:dyDescent="0.25">
      <c r="A408">
        <v>107</v>
      </c>
      <c r="B408" t="s">
        <v>59</v>
      </c>
      <c r="C408" t="s">
        <v>60</v>
      </c>
      <c r="D408" t="s">
        <v>12</v>
      </c>
      <c r="E408" t="s">
        <v>61</v>
      </c>
      <c r="F408" s="1">
        <v>44990</v>
      </c>
      <c r="G408" s="1">
        <v>45118</v>
      </c>
      <c r="H408">
        <f t="shared" si="94"/>
        <v>128</v>
      </c>
      <c r="J408">
        <v>31.5</v>
      </c>
      <c r="K408">
        <v>123</v>
      </c>
      <c r="L408">
        <v>2</v>
      </c>
      <c r="O408" s="2">
        <v>34.72</v>
      </c>
      <c r="P408" s="3">
        <v>1.7571000000000001</v>
      </c>
      <c r="Q408" s="4">
        <v>0.55416666666666703</v>
      </c>
      <c r="R408" s="4">
        <v>0.80972222222222223</v>
      </c>
      <c r="S408" s="2"/>
      <c r="T408" s="13"/>
      <c r="V408" s="10"/>
      <c r="W408" s="2" t="str">
        <f t="shared" si="97"/>
        <v>6:08:00</v>
      </c>
      <c r="Y408" s="12"/>
      <c r="AA408" s="10">
        <v>36.99</v>
      </c>
      <c r="AB408" s="10" t="s">
        <v>91</v>
      </c>
    </row>
    <row r="409" spans="1:28" ht="15" customHeight="1" x14ac:dyDescent="0.25">
      <c r="A409">
        <v>120</v>
      </c>
      <c r="B409" t="s">
        <v>68</v>
      </c>
      <c r="C409" t="s">
        <v>69</v>
      </c>
      <c r="D409" t="s">
        <v>12</v>
      </c>
      <c r="E409" t="s">
        <v>61</v>
      </c>
      <c r="F409" s="1">
        <v>45006</v>
      </c>
      <c r="G409" s="1">
        <v>45119</v>
      </c>
      <c r="H409">
        <f t="shared" si="94"/>
        <v>113</v>
      </c>
      <c r="J409">
        <v>31.5</v>
      </c>
      <c r="K409">
        <v>326</v>
      </c>
      <c r="L409">
        <v>2</v>
      </c>
      <c r="O409" s="2">
        <v>31.93</v>
      </c>
      <c r="P409" s="3">
        <v>1.2178</v>
      </c>
      <c r="Q409" s="4">
        <v>0.50962962962962999</v>
      </c>
      <c r="R409" s="4">
        <v>0.76111111111111107</v>
      </c>
      <c r="S409" s="2"/>
      <c r="T409" s="13"/>
      <c r="V409" s="10"/>
      <c r="W409" s="2" t="str">
        <f t="shared" si="97"/>
        <v>6:02:08</v>
      </c>
      <c r="Y409" s="12"/>
      <c r="AA409" s="10">
        <v>37</v>
      </c>
      <c r="AB409" s="10" t="s">
        <v>91</v>
      </c>
    </row>
    <row r="410" spans="1:28" ht="15" customHeight="1" x14ac:dyDescent="0.25">
      <c r="A410">
        <v>110</v>
      </c>
      <c r="B410" t="s">
        <v>66</v>
      </c>
      <c r="C410" t="s">
        <v>67</v>
      </c>
      <c r="D410" t="s">
        <v>12</v>
      </c>
      <c r="E410" t="s">
        <v>61</v>
      </c>
      <c r="F410" s="1">
        <v>44992</v>
      </c>
      <c r="G410" s="1">
        <v>45120</v>
      </c>
      <c r="H410">
        <f t="shared" si="94"/>
        <v>128</v>
      </c>
      <c r="I410" t="s">
        <v>37</v>
      </c>
      <c r="J410">
        <v>30</v>
      </c>
      <c r="K410">
        <v>329</v>
      </c>
      <c r="L410">
        <v>1</v>
      </c>
      <c r="M410">
        <v>2</v>
      </c>
      <c r="N410">
        <v>2</v>
      </c>
      <c r="O410" s="2">
        <v>27.58</v>
      </c>
      <c r="P410" s="3">
        <v>0.81469999999999998</v>
      </c>
      <c r="Q410" s="4">
        <v>0.493229166666667</v>
      </c>
      <c r="R410" s="4">
        <v>0.74097222222222225</v>
      </c>
      <c r="T410" s="13"/>
      <c r="U410" s="10">
        <v>37.015000000000001</v>
      </c>
      <c r="V410" s="2"/>
      <c r="W410" s="2" t="str">
        <f t="shared" si="97"/>
        <v>5:56:45</v>
      </c>
      <c r="X410" s="10">
        <v>0</v>
      </c>
      <c r="Y410" s="12">
        <f>U410-X410</f>
        <v>37.015000000000001</v>
      </c>
      <c r="AA410" s="10">
        <f>AVERAGE(Y410,T410)</f>
        <v>37.015000000000001</v>
      </c>
      <c r="AB410" s="10" t="s">
        <v>90</v>
      </c>
    </row>
    <row r="411" spans="1:28" ht="15" customHeight="1" x14ac:dyDescent="0.25">
      <c r="A411">
        <v>120</v>
      </c>
      <c r="B411" t="s">
        <v>68</v>
      </c>
      <c r="C411" t="s">
        <v>69</v>
      </c>
      <c r="D411" t="s">
        <v>12</v>
      </c>
      <c r="E411" t="s">
        <v>61</v>
      </c>
      <c r="F411" s="1">
        <v>45006</v>
      </c>
      <c r="G411" s="1">
        <v>45119</v>
      </c>
      <c r="H411">
        <f t="shared" si="94"/>
        <v>113</v>
      </c>
      <c r="J411">
        <v>31.5</v>
      </c>
      <c r="K411">
        <v>326</v>
      </c>
      <c r="L411">
        <v>2</v>
      </c>
      <c r="O411" s="2">
        <v>31.15</v>
      </c>
      <c r="P411" s="3">
        <v>1.0920000000000001</v>
      </c>
      <c r="Q411" s="4">
        <v>0.50962962962962999</v>
      </c>
      <c r="R411" s="4">
        <v>0.76180555555555562</v>
      </c>
      <c r="S411" s="2"/>
      <c r="T411" s="13"/>
      <c r="V411" s="10"/>
      <c r="W411" s="2" t="str">
        <f t="shared" si="97"/>
        <v>6:03:08</v>
      </c>
      <c r="Y411" s="12"/>
      <c r="AA411" s="10">
        <v>37.020000000000003</v>
      </c>
      <c r="AB411" s="10" t="s">
        <v>91</v>
      </c>
    </row>
    <row r="412" spans="1:28" ht="15" customHeight="1" x14ac:dyDescent="0.25">
      <c r="A412">
        <v>120</v>
      </c>
      <c r="B412" t="s">
        <v>68</v>
      </c>
      <c r="C412" t="s">
        <v>69</v>
      </c>
      <c r="D412" t="s">
        <v>12</v>
      </c>
      <c r="E412" t="s">
        <v>61</v>
      </c>
      <c r="F412" s="1">
        <v>45006</v>
      </c>
      <c r="G412" s="1">
        <v>45120</v>
      </c>
      <c r="H412">
        <f t="shared" si="94"/>
        <v>114</v>
      </c>
      <c r="I412" t="s">
        <v>36</v>
      </c>
      <c r="J412">
        <v>28.5</v>
      </c>
      <c r="K412">
        <v>140</v>
      </c>
      <c r="L412">
        <v>2</v>
      </c>
      <c r="M412">
        <v>5</v>
      </c>
      <c r="N412">
        <v>1</v>
      </c>
      <c r="O412" s="2">
        <v>30.76</v>
      </c>
      <c r="P412" s="3">
        <v>1.1047</v>
      </c>
      <c r="Q412" s="4">
        <v>0.493229166666667</v>
      </c>
      <c r="R412" s="4">
        <v>0.74583333333333324</v>
      </c>
      <c r="T412" s="13">
        <v>37</v>
      </c>
      <c r="U412" s="10">
        <v>37.069000000000003</v>
      </c>
      <c r="V412" s="2">
        <f>U412-T412</f>
        <v>6.9000000000002615E-2</v>
      </c>
      <c r="W412" s="2" t="str">
        <f t="shared" si="97"/>
        <v>6:03:45</v>
      </c>
      <c r="X412" s="10">
        <v>6.0000000000000001E-3</v>
      </c>
      <c r="Y412" s="12">
        <f t="shared" ref="Y412:Y419" si="98">U412-X412</f>
        <v>37.063000000000002</v>
      </c>
      <c r="Z412" s="10">
        <f>Y412-T412</f>
        <v>6.3000000000002387E-2</v>
      </c>
      <c r="AA412" s="10">
        <f t="shared" ref="AA412:AA419" si="99">AVERAGE(Y412,T412)</f>
        <v>37.031500000000001</v>
      </c>
      <c r="AB412" s="10" t="s">
        <v>90</v>
      </c>
    </row>
    <row r="413" spans="1:28" ht="15" customHeight="1" x14ac:dyDescent="0.25">
      <c r="A413">
        <v>120</v>
      </c>
      <c r="B413" t="s">
        <v>68</v>
      </c>
      <c r="C413" t="s">
        <v>69</v>
      </c>
      <c r="D413" t="s">
        <v>12</v>
      </c>
      <c r="E413" t="s">
        <v>61</v>
      </c>
      <c r="F413" s="1">
        <v>45006</v>
      </c>
      <c r="G413" s="1">
        <v>45120</v>
      </c>
      <c r="H413">
        <f t="shared" si="94"/>
        <v>114</v>
      </c>
      <c r="I413" t="s">
        <v>36</v>
      </c>
      <c r="J413">
        <v>28.5</v>
      </c>
      <c r="K413">
        <v>140</v>
      </c>
      <c r="L413">
        <v>2</v>
      </c>
      <c r="M413">
        <v>5</v>
      </c>
      <c r="N413">
        <v>3</v>
      </c>
      <c r="O413" s="2">
        <v>31.47</v>
      </c>
      <c r="P413" s="3">
        <v>1.2555000000000001</v>
      </c>
      <c r="Q413" s="4">
        <v>0.493229166666667</v>
      </c>
      <c r="R413" s="4">
        <v>0.74583333333333324</v>
      </c>
      <c r="T413" s="13">
        <v>37</v>
      </c>
      <c r="U413" s="10">
        <v>37.069000000000003</v>
      </c>
      <c r="V413" s="2">
        <f>U413-T413</f>
        <v>6.9000000000002615E-2</v>
      </c>
      <c r="W413" s="2" t="str">
        <f t="shared" si="97"/>
        <v>6:03:45</v>
      </c>
      <c r="X413" s="10">
        <v>6.0000000000000001E-3</v>
      </c>
      <c r="Y413" s="12">
        <f t="shared" si="98"/>
        <v>37.063000000000002</v>
      </c>
      <c r="Z413" s="10">
        <f>Y413-T413</f>
        <v>6.3000000000002387E-2</v>
      </c>
      <c r="AA413" s="10">
        <f t="shared" si="99"/>
        <v>37.031500000000001</v>
      </c>
      <c r="AB413" s="10" t="s">
        <v>90</v>
      </c>
    </row>
    <row r="414" spans="1:28" ht="15" customHeight="1" x14ac:dyDescent="0.25">
      <c r="A414">
        <v>120</v>
      </c>
      <c r="B414" t="s">
        <v>68</v>
      </c>
      <c r="C414" t="s">
        <v>69</v>
      </c>
      <c r="D414" t="s">
        <v>12</v>
      </c>
      <c r="E414" t="s">
        <v>61</v>
      </c>
      <c r="F414" s="1">
        <v>45006</v>
      </c>
      <c r="G414" s="1">
        <v>45119</v>
      </c>
      <c r="H414">
        <f t="shared" si="94"/>
        <v>113</v>
      </c>
      <c r="I414" t="s">
        <v>38</v>
      </c>
      <c r="J414">
        <v>28.5</v>
      </c>
      <c r="K414">
        <v>140</v>
      </c>
      <c r="L414">
        <v>1</v>
      </c>
      <c r="M414">
        <v>1</v>
      </c>
      <c r="N414">
        <v>1</v>
      </c>
      <c r="O414" s="2">
        <v>36.61</v>
      </c>
      <c r="P414" s="3">
        <v>2.1381000000000001</v>
      </c>
      <c r="Q414" s="4">
        <v>0.50962962962962965</v>
      </c>
      <c r="R414" s="4">
        <v>0.76388888888888884</v>
      </c>
      <c r="T414" s="13"/>
      <c r="U414" s="10">
        <v>37.151000000000003</v>
      </c>
      <c r="V414" s="2"/>
      <c r="W414" s="2" t="str">
        <f t="shared" si="97"/>
        <v>6:06:08</v>
      </c>
      <c r="X414" s="10">
        <v>0.11700000000000001</v>
      </c>
      <c r="Y414" s="12">
        <f t="shared" si="98"/>
        <v>37.034000000000006</v>
      </c>
      <c r="AA414" s="10">
        <f t="shared" si="99"/>
        <v>37.034000000000006</v>
      </c>
      <c r="AB414" s="10" t="s">
        <v>90</v>
      </c>
    </row>
    <row r="415" spans="1:28" ht="15" customHeight="1" x14ac:dyDescent="0.25">
      <c r="A415">
        <v>120</v>
      </c>
      <c r="B415" t="s">
        <v>68</v>
      </c>
      <c r="C415" t="s">
        <v>69</v>
      </c>
      <c r="D415" t="s">
        <v>12</v>
      </c>
      <c r="E415" t="s">
        <v>61</v>
      </c>
      <c r="F415" s="1">
        <v>45006</v>
      </c>
      <c r="G415" s="1">
        <v>45119</v>
      </c>
      <c r="H415">
        <f t="shared" si="94"/>
        <v>113</v>
      </c>
      <c r="I415" t="s">
        <v>37</v>
      </c>
      <c r="J415">
        <v>30</v>
      </c>
      <c r="K415">
        <v>333</v>
      </c>
      <c r="L415">
        <v>2</v>
      </c>
      <c r="M415">
        <v>1</v>
      </c>
      <c r="N415">
        <v>1</v>
      </c>
      <c r="O415" s="2">
        <v>27.74</v>
      </c>
      <c r="P415" s="3">
        <v>0.93220000000000003</v>
      </c>
      <c r="Q415" s="4">
        <v>0.50962962962962999</v>
      </c>
      <c r="R415" s="4">
        <v>0.76388888888888884</v>
      </c>
      <c r="T415" s="13"/>
      <c r="U415" s="10">
        <v>37.151000000000003</v>
      </c>
      <c r="V415" s="2"/>
      <c r="W415" s="2" t="str">
        <f t="shared" si="97"/>
        <v>6:06:08</v>
      </c>
      <c r="X415" s="10">
        <v>0.11700000000000001</v>
      </c>
      <c r="Y415" s="12">
        <f t="shared" si="98"/>
        <v>37.034000000000006</v>
      </c>
      <c r="AA415" s="10">
        <f t="shared" si="99"/>
        <v>37.034000000000006</v>
      </c>
      <c r="AB415" s="10" t="s">
        <v>90</v>
      </c>
    </row>
    <row r="416" spans="1:28" ht="15" customHeight="1" x14ac:dyDescent="0.25">
      <c r="A416">
        <v>120</v>
      </c>
      <c r="B416" t="s">
        <v>68</v>
      </c>
      <c r="C416" t="s">
        <v>69</v>
      </c>
      <c r="D416" t="s">
        <v>12</v>
      </c>
      <c r="E416" t="s">
        <v>61</v>
      </c>
      <c r="F416" s="1">
        <v>45006</v>
      </c>
      <c r="G416" s="1">
        <v>45119</v>
      </c>
      <c r="H416">
        <f t="shared" si="94"/>
        <v>113</v>
      </c>
      <c r="I416" t="s">
        <v>37</v>
      </c>
      <c r="J416">
        <v>30</v>
      </c>
      <c r="K416">
        <v>333</v>
      </c>
      <c r="L416">
        <v>2</v>
      </c>
      <c r="M416">
        <v>1</v>
      </c>
      <c r="N416">
        <v>3</v>
      </c>
      <c r="O416" s="2">
        <v>31.77</v>
      </c>
      <c r="P416" s="3">
        <v>1.3172999999999999</v>
      </c>
      <c r="Q416" s="4">
        <v>0.50962962962962999</v>
      </c>
      <c r="R416" s="4">
        <v>0.76388888888888884</v>
      </c>
      <c r="T416" s="13"/>
      <c r="U416" s="10">
        <v>37.151000000000003</v>
      </c>
      <c r="V416" s="2"/>
      <c r="W416" s="2" t="str">
        <f t="shared" si="97"/>
        <v>6:06:08</v>
      </c>
      <c r="X416" s="10">
        <v>0.11700000000000001</v>
      </c>
      <c r="Y416" s="12">
        <f t="shared" si="98"/>
        <v>37.034000000000006</v>
      </c>
      <c r="AA416" s="10">
        <f t="shared" si="99"/>
        <v>37.034000000000006</v>
      </c>
      <c r="AB416" s="10" t="s">
        <v>90</v>
      </c>
    </row>
    <row r="417" spans="1:28" ht="15" customHeight="1" x14ac:dyDescent="0.25">
      <c r="A417">
        <v>120</v>
      </c>
      <c r="B417" t="s">
        <v>68</v>
      </c>
      <c r="C417" t="s">
        <v>69</v>
      </c>
      <c r="D417" t="s">
        <v>12</v>
      </c>
      <c r="E417" t="s">
        <v>61</v>
      </c>
      <c r="F417" s="1">
        <v>45006</v>
      </c>
      <c r="G417" s="1">
        <v>45119</v>
      </c>
      <c r="H417">
        <f t="shared" si="94"/>
        <v>113</v>
      </c>
      <c r="I417" t="s">
        <v>36</v>
      </c>
      <c r="J417">
        <v>31.5</v>
      </c>
      <c r="K417">
        <v>326</v>
      </c>
      <c r="L417">
        <v>2</v>
      </c>
      <c r="M417">
        <v>1</v>
      </c>
      <c r="N417">
        <v>5</v>
      </c>
      <c r="O417" s="2">
        <v>27.55</v>
      </c>
      <c r="P417" s="3">
        <v>0.88600000000000001</v>
      </c>
      <c r="Q417" s="4">
        <v>0.50962962962962999</v>
      </c>
      <c r="R417" s="4">
        <v>0.76458333333333339</v>
      </c>
      <c r="T417" s="13"/>
      <c r="U417" s="10">
        <v>37.151000000000003</v>
      </c>
      <c r="V417" s="2"/>
      <c r="W417" s="2" t="str">
        <f t="shared" si="97"/>
        <v>6:07:08</v>
      </c>
      <c r="X417" s="10">
        <v>0.11700000000000001</v>
      </c>
      <c r="Y417" s="12">
        <f t="shared" si="98"/>
        <v>37.034000000000006</v>
      </c>
      <c r="AA417" s="10">
        <f t="shared" si="99"/>
        <v>37.034000000000006</v>
      </c>
      <c r="AB417" s="10" t="s">
        <v>90</v>
      </c>
    </row>
    <row r="418" spans="1:28" ht="15" customHeight="1" x14ac:dyDescent="0.25">
      <c r="A418">
        <v>110</v>
      </c>
      <c r="B418" t="s">
        <v>66</v>
      </c>
      <c r="C418" t="s">
        <v>67</v>
      </c>
      <c r="D418" t="s">
        <v>12</v>
      </c>
      <c r="E418" t="s">
        <v>61</v>
      </c>
      <c r="F418" s="1">
        <v>44992</v>
      </c>
      <c r="G418" s="1">
        <v>45120</v>
      </c>
      <c r="H418">
        <f t="shared" si="94"/>
        <v>128</v>
      </c>
      <c r="I418" t="s">
        <v>37</v>
      </c>
      <c r="J418">
        <v>30</v>
      </c>
      <c r="K418">
        <v>329</v>
      </c>
      <c r="L418">
        <v>1</v>
      </c>
      <c r="M418">
        <v>2</v>
      </c>
      <c r="N418">
        <v>3</v>
      </c>
      <c r="O418" s="2">
        <v>33.72</v>
      </c>
      <c r="P418" s="3">
        <v>1.5535000000000001</v>
      </c>
      <c r="Q418" s="4">
        <v>0.493229166666667</v>
      </c>
      <c r="R418" s="4">
        <v>0.74236111111111114</v>
      </c>
      <c r="T418" s="13"/>
      <c r="U418" s="10">
        <v>37.042000000000002</v>
      </c>
      <c r="V418" s="2"/>
      <c r="W418" s="2" t="str">
        <f t="shared" si="97"/>
        <v>5:58:45</v>
      </c>
      <c r="X418" s="10">
        <v>0</v>
      </c>
      <c r="Y418" s="12">
        <f t="shared" si="98"/>
        <v>37.042000000000002</v>
      </c>
      <c r="AA418" s="10">
        <f t="shared" si="99"/>
        <v>37.042000000000002</v>
      </c>
      <c r="AB418" s="10" t="s">
        <v>90</v>
      </c>
    </row>
    <row r="419" spans="1:28" ht="15" customHeight="1" x14ac:dyDescent="0.25">
      <c r="A419">
        <v>110</v>
      </c>
      <c r="B419" t="s">
        <v>66</v>
      </c>
      <c r="C419" t="s">
        <v>67</v>
      </c>
      <c r="D419" t="s">
        <v>12</v>
      </c>
      <c r="E419" t="s">
        <v>61</v>
      </c>
      <c r="F419" s="1">
        <v>44992</v>
      </c>
      <c r="G419" s="1">
        <v>45120</v>
      </c>
      <c r="H419">
        <f t="shared" si="94"/>
        <v>128</v>
      </c>
      <c r="I419" t="s">
        <v>38</v>
      </c>
      <c r="J419">
        <v>31.5</v>
      </c>
      <c r="K419">
        <v>360</v>
      </c>
      <c r="L419">
        <v>1</v>
      </c>
      <c r="M419">
        <v>2</v>
      </c>
      <c r="N419">
        <v>1</v>
      </c>
      <c r="O419" s="2">
        <v>28.47</v>
      </c>
      <c r="P419" s="3">
        <v>0.94710000000000005</v>
      </c>
      <c r="Q419" s="4">
        <v>0.493229166666667</v>
      </c>
      <c r="R419" s="4">
        <v>0.74236111111111114</v>
      </c>
      <c r="T419" s="13"/>
      <c r="U419" s="10">
        <v>37.042000000000002</v>
      </c>
      <c r="V419" s="2"/>
      <c r="W419" s="2" t="str">
        <f t="shared" si="97"/>
        <v>5:58:45</v>
      </c>
      <c r="X419" s="10">
        <v>0</v>
      </c>
      <c r="Y419" s="12">
        <f t="shared" si="98"/>
        <v>37.042000000000002</v>
      </c>
      <c r="AA419" s="10">
        <f t="shared" si="99"/>
        <v>37.042000000000002</v>
      </c>
      <c r="AB419" s="10" t="s">
        <v>90</v>
      </c>
    </row>
    <row r="420" spans="1:28" ht="15" customHeight="1" x14ac:dyDescent="0.25">
      <c r="A420">
        <v>110</v>
      </c>
      <c r="B420" t="s">
        <v>66</v>
      </c>
      <c r="C420" t="s">
        <v>67</v>
      </c>
      <c r="D420" t="s">
        <v>12</v>
      </c>
      <c r="E420" t="s">
        <v>61</v>
      </c>
      <c r="F420" s="1">
        <v>44992</v>
      </c>
      <c r="G420" s="1">
        <v>45120</v>
      </c>
      <c r="H420">
        <f t="shared" si="94"/>
        <v>128</v>
      </c>
      <c r="J420">
        <v>31.5</v>
      </c>
      <c r="K420">
        <v>325</v>
      </c>
      <c r="L420">
        <v>2</v>
      </c>
      <c r="O420" s="2">
        <v>32.200000000000003</v>
      </c>
      <c r="P420" s="3">
        <v>1.3174999999999999</v>
      </c>
      <c r="Q420" s="4">
        <v>0.48958333333333298</v>
      </c>
      <c r="R420" s="4">
        <v>0.74722222222222223</v>
      </c>
      <c r="S420" s="2"/>
      <c r="T420" s="13"/>
      <c r="V420" s="10"/>
      <c r="W420" s="2" t="str">
        <f t="shared" si="97"/>
        <v>6:11:00</v>
      </c>
      <c r="Y420" s="12"/>
      <c r="AA420" s="10">
        <v>37.049999999999997</v>
      </c>
      <c r="AB420" s="10" t="s">
        <v>91</v>
      </c>
    </row>
    <row r="421" spans="1:28" ht="15" customHeight="1" x14ac:dyDescent="0.25">
      <c r="A421">
        <v>110</v>
      </c>
      <c r="B421" t="s">
        <v>66</v>
      </c>
      <c r="C421" t="s">
        <v>67</v>
      </c>
      <c r="D421" t="s">
        <v>12</v>
      </c>
      <c r="E421" t="s">
        <v>61</v>
      </c>
      <c r="F421" s="1">
        <v>44992</v>
      </c>
      <c r="G421" s="1">
        <v>45120</v>
      </c>
      <c r="H421">
        <f t="shared" si="94"/>
        <v>128</v>
      </c>
      <c r="J421">
        <v>31.5</v>
      </c>
      <c r="K421">
        <v>325</v>
      </c>
      <c r="L421">
        <v>2</v>
      </c>
      <c r="O421" s="2">
        <v>32.07</v>
      </c>
      <c r="P421" s="3">
        <v>1.2524999999999999</v>
      </c>
      <c r="Q421" s="4">
        <v>0.48958333333333298</v>
      </c>
      <c r="R421" s="4">
        <v>0.74722222222222223</v>
      </c>
      <c r="S421" s="2"/>
      <c r="T421" s="13"/>
      <c r="V421" s="10"/>
      <c r="W421" s="2" t="str">
        <f t="shared" si="97"/>
        <v>6:11:00</v>
      </c>
      <c r="Y421" s="12"/>
      <c r="AA421" s="10">
        <v>37.06</v>
      </c>
      <c r="AB421" s="10" t="s">
        <v>91</v>
      </c>
    </row>
    <row r="422" spans="1:28" ht="15" customHeight="1" x14ac:dyDescent="0.25">
      <c r="A422">
        <v>120</v>
      </c>
      <c r="B422" t="s">
        <v>68</v>
      </c>
      <c r="C422" t="s">
        <v>69</v>
      </c>
      <c r="D422" t="s">
        <v>12</v>
      </c>
      <c r="E422" t="s">
        <v>61</v>
      </c>
      <c r="F422" s="1">
        <v>45006</v>
      </c>
      <c r="G422" s="1">
        <v>45119</v>
      </c>
      <c r="H422">
        <f t="shared" si="94"/>
        <v>113</v>
      </c>
      <c r="I422" t="s">
        <v>36</v>
      </c>
      <c r="J422">
        <v>31.5</v>
      </c>
      <c r="K422">
        <v>326</v>
      </c>
      <c r="L422">
        <v>2</v>
      </c>
      <c r="M422">
        <v>1</v>
      </c>
      <c r="N422">
        <v>3</v>
      </c>
      <c r="O422" s="2">
        <v>26.94</v>
      </c>
      <c r="P422" s="3">
        <v>0.875</v>
      </c>
      <c r="Q422" s="4">
        <v>0.50962962962962999</v>
      </c>
      <c r="R422" s="4">
        <v>0.76597222222222217</v>
      </c>
      <c r="T422" s="13"/>
      <c r="U422" s="10">
        <v>37.177999999999997</v>
      </c>
      <c r="V422" s="2"/>
      <c r="W422" s="2" t="str">
        <f t="shared" si="97"/>
        <v>6:09:08</v>
      </c>
      <c r="X422" s="10">
        <v>0.11700000000000001</v>
      </c>
      <c r="Y422" s="12">
        <f t="shared" ref="Y422:Y428" si="100">U422-X422</f>
        <v>37.061</v>
      </c>
      <c r="AA422" s="10">
        <f t="shared" ref="AA422:AA428" si="101">AVERAGE(Y422,T422)</f>
        <v>37.061</v>
      </c>
      <c r="AB422" s="10" t="s">
        <v>90</v>
      </c>
    </row>
    <row r="423" spans="1:28" ht="15" customHeight="1" x14ac:dyDescent="0.25">
      <c r="A423">
        <v>107</v>
      </c>
      <c r="B423" t="s">
        <v>59</v>
      </c>
      <c r="C423" t="s">
        <v>60</v>
      </c>
      <c r="D423" t="s">
        <v>12</v>
      </c>
      <c r="E423" t="s">
        <v>61</v>
      </c>
      <c r="F423" s="1">
        <v>44990</v>
      </c>
      <c r="G423" s="1">
        <v>45120</v>
      </c>
      <c r="H423">
        <f t="shared" si="94"/>
        <v>130</v>
      </c>
      <c r="I423" t="s">
        <v>36</v>
      </c>
      <c r="J423">
        <v>28.5</v>
      </c>
      <c r="K423">
        <v>247</v>
      </c>
      <c r="L423">
        <v>1</v>
      </c>
      <c r="M423">
        <v>6</v>
      </c>
      <c r="N423">
        <v>1</v>
      </c>
      <c r="O423" s="2">
        <v>36.99</v>
      </c>
      <c r="P423" s="3">
        <v>2.16</v>
      </c>
      <c r="Q423" s="4">
        <v>0.493229166666667</v>
      </c>
      <c r="R423" s="4">
        <v>0.74861111111111101</v>
      </c>
      <c r="T423" s="13">
        <v>37.200000000000003</v>
      </c>
      <c r="U423" s="10">
        <v>37.042000000000002</v>
      </c>
      <c r="V423" s="8">
        <f>U423-T423</f>
        <v>-0.15800000000000125</v>
      </c>
      <c r="W423" s="2" t="str">
        <f t="shared" si="97"/>
        <v>6:07:45</v>
      </c>
      <c r="X423" s="10">
        <v>5.5E-2</v>
      </c>
      <c r="Y423" s="12">
        <f t="shared" si="100"/>
        <v>36.987000000000002</v>
      </c>
      <c r="Z423" s="11">
        <f>Y423-T423</f>
        <v>-0.21300000000000097</v>
      </c>
      <c r="AA423" s="10">
        <f t="shared" si="101"/>
        <v>37.093500000000006</v>
      </c>
      <c r="AB423" s="10" t="s">
        <v>90</v>
      </c>
    </row>
    <row r="424" spans="1:28" ht="15" customHeight="1" x14ac:dyDescent="0.25">
      <c r="A424">
        <v>107</v>
      </c>
      <c r="B424" t="s">
        <v>59</v>
      </c>
      <c r="C424" t="s">
        <v>60</v>
      </c>
      <c r="D424" t="s">
        <v>12</v>
      </c>
      <c r="E424" t="s">
        <v>61</v>
      </c>
      <c r="F424" s="1">
        <v>44990</v>
      </c>
      <c r="G424" s="1">
        <v>45120</v>
      </c>
      <c r="H424">
        <f t="shared" si="94"/>
        <v>130</v>
      </c>
      <c r="I424" t="s">
        <v>36</v>
      </c>
      <c r="J424">
        <v>28.5</v>
      </c>
      <c r="K424">
        <v>247</v>
      </c>
      <c r="L424">
        <v>1</v>
      </c>
      <c r="M424">
        <v>6</v>
      </c>
      <c r="N424">
        <v>5</v>
      </c>
      <c r="O424" s="2">
        <v>34.74</v>
      </c>
      <c r="P424" s="3">
        <v>1.6496999999999999</v>
      </c>
      <c r="Q424" s="4">
        <v>0.493229166666667</v>
      </c>
      <c r="R424" s="4">
        <v>0.74722222222222223</v>
      </c>
      <c r="T424" s="13"/>
      <c r="U424" s="10">
        <v>37.15</v>
      </c>
      <c r="V424" s="2"/>
      <c r="W424" s="2" t="str">
        <f t="shared" si="97"/>
        <v>6:05:45</v>
      </c>
      <c r="X424" s="10">
        <v>5.5E-2</v>
      </c>
      <c r="Y424" s="12">
        <f t="shared" si="100"/>
        <v>37.094999999999999</v>
      </c>
      <c r="AA424" s="10">
        <f t="shared" si="101"/>
        <v>37.094999999999999</v>
      </c>
      <c r="AB424" s="10" t="s">
        <v>90</v>
      </c>
    </row>
    <row r="425" spans="1:28" ht="15" customHeight="1" x14ac:dyDescent="0.25">
      <c r="A425">
        <v>110</v>
      </c>
      <c r="B425" t="s">
        <v>66</v>
      </c>
      <c r="C425" t="s">
        <v>67</v>
      </c>
      <c r="D425" t="s">
        <v>12</v>
      </c>
      <c r="E425" t="s">
        <v>61</v>
      </c>
      <c r="F425" s="1">
        <v>44992</v>
      </c>
      <c r="G425" s="1">
        <v>45120</v>
      </c>
      <c r="H425">
        <f t="shared" si="94"/>
        <v>128</v>
      </c>
      <c r="I425" t="s">
        <v>37</v>
      </c>
      <c r="J425">
        <v>30</v>
      </c>
      <c r="K425">
        <v>329</v>
      </c>
      <c r="L425">
        <v>1</v>
      </c>
      <c r="M425">
        <v>2</v>
      </c>
      <c r="N425">
        <v>5</v>
      </c>
      <c r="O425" s="2">
        <v>28.8</v>
      </c>
      <c r="P425" s="3">
        <v>0.91879999999999995</v>
      </c>
      <c r="Q425" s="4">
        <v>0.493229166666667</v>
      </c>
      <c r="R425" s="4">
        <v>0.74513888888888891</v>
      </c>
      <c r="T425" s="13"/>
      <c r="U425" s="10">
        <v>37.095999999999997</v>
      </c>
      <c r="V425" s="2"/>
      <c r="W425" s="2" t="str">
        <f t="shared" si="97"/>
        <v>6:02:45</v>
      </c>
      <c r="X425" s="10">
        <v>0</v>
      </c>
      <c r="Y425" s="12">
        <f t="shared" si="100"/>
        <v>37.095999999999997</v>
      </c>
      <c r="AA425" s="10">
        <f t="shared" si="101"/>
        <v>37.095999999999997</v>
      </c>
      <c r="AB425" s="10" t="s">
        <v>90</v>
      </c>
    </row>
    <row r="426" spans="1:28" ht="15" customHeight="1" x14ac:dyDescent="0.25">
      <c r="A426">
        <v>110</v>
      </c>
      <c r="B426" t="s">
        <v>66</v>
      </c>
      <c r="C426" t="s">
        <v>67</v>
      </c>
      <c r="D426" t="s">
        <v>12</v>
      </c>
      <c r="E426" t="s">
        <v>61</v>
      </c>
      <c r="F426" s="1">
        <v>44992</v>
      </c>
      <c r="G426" s="1">
        <v>45120</v>
      </c>
      <c r="H426">
        <f t="shared" si="94"/>
        <v>128</v>
      </c>
      <c r="I426" t="s">
        <v>37</v>
      </c>
      <c r="J426">
        <v>30</v>
      </c>
      <c r="K426">
        <v>329</v>
      </c>
      <c r="L426">
        <v>1</v>
      </c>
      <c r="M426">
        <v>2</v>
      </c>
      <c r="N426">
        <v>4</v>
      </c>
      <c r="O426" s="2">
        <v>33.11</v>
      </c>
      <c r="P426" s="3">
        <v>1.4643999999999999</v>
      </c>
      <c r="Q426" s="4">
        <v>0.493229166666667</v>
      </c>
      <c r="R426" s="4">
        <v>0.74513888888888891</v>
      </c>
      <c r="T426" s="13"/>
      <c r="U426" s="10">
        <v>37.095999999999997</v>
      </c>
      <c r="V426" s="2"/>
      <c r="W426" s="2" t="str">
        <f t="shared" si="97"/>
        <v>6:02:45</v>
      </c>
      <c r="X426" s="10">
        <v>0</v>
      </c>
      <c r="Y426" s="12">
        <f t="shared" si="100"/>
        <v>37.095999999999997</v>
      </c>
      <c r="AA426" s="10">
        <f t="shared" si="101"/>
        <v>37.095999999999997</v>
      </c>
      <c r="AB426" s="10" t="s">
        <v>90</v>
      </c>
    </row>
    <row r="427" spans="1:28" ht="15" customHeight="1" x14ac:dyDescent="0.25">
      <c r="A427">
        <v>110</v>
      </c>
      <c r="B427" t="s">
        <v>66</v>
      </c>
      <c r="C427" t="s">
        <v>67</v>
      </c>
      <c r="D427" t="s">
        <v>12</v>
      </c>
      <c r="E427" t="s">
        <v>61</v>
      </c>
      <c r="F427" s="1">
        <v>44992</v>
      </c>
      <c r="G427" s="1">
        <v>45120</v>
      </c>
      <c r="H427">
        <f t="shared" si="94"/>
        <v>128</v>
      </c>
      <c r="I427" t="s">
        <v>38</v>
      </c>
      <c r="J427">
        <v>31.5</v>
      </c>
      <c r="K427">
        <v>360</v>
      </c>
      <c r="L427">
        <v>1</v>
      </c>
      <c r="M427">
        <v>2</v>
      </c>
      <c r="N427">
        <v>5</v>
      </c>
      <c r="O427" s="2">
        <v>25.16</v>
      </c>
      <c r="P427" s="3">
        <v>0.61919999999999997</v>
      </c>
      <c r="Q427" s="4">
        <v>0.493229166666667</v>
      </c>
      <c r="R427" s="4">
        <v>0.74513888888888891</v>
      </c>
      <c r="T427" s="13"/>
      <c r="U427" s="10">
        <v>37.095999999999997</v>
      </c>
      <c r="V427" s="2"/>
      <c r="W427" s="2" t="str">
        <f t="shared" si="97"/>
        <v>6:02:45</v>
      </c>
      <c r="X427" s="10">
        <v>0</v>
      </c>
      <c r="Y427" s="12">
        <f t="shared" si="100"/>
        <v>37.095999999999997</v>
      </c>
      <c r="AA427" s="10">
        <f t="shared" si="101"/>
        <v>37.095999999999997</v>
      </c>
      <c r="AB427" s="10" t="s">
        <v>90</v>
      </c>
    </row>
    <row r="428" spans="1:28" ht="15" customHeight="1" x14ac:dyDescent="0.25">
      <c r="A428">
        <v>120</v>
      </c>
      <c r="B428" t="s">
        <v>68</v>
      </c>
      <c r="C428" t="s">
        <v>69</v>
      </c>
      <c r="D428" t="s">
        <v>12</v>
      </c>
      <c r="E428" t="s">
        <v>61</v>
      </c>
      <c r="F428" s="1">
        <v>45006</v>
      </c>
      <c r="G428" s="1">
        <v>45119</v>
      </c>
      <c r="H428">
        <f t="shared" si="94"/>
        <v>113</v>
      </c>
      <c r="I428" t="s">
        <v>36</v>
      </c>
      <c r="J428">
        <v>31.5</v>
      </c>
      <c r="K428">
        <v>326</v>
      </c>
      <c r="L428">
        <v>2</v>
      </c>
      <c r="M428">
        <v>1</v>
      </c>
      <c r="N428">
        <v>2</v>
      </c>
      <c r="O428" s="2">
        <v>39.1</v>
      </c>
      <c r="P428" s="3">
        <v>2.7347999999999999</v>
      </c>
      <c r="Q428" s="4">
        <v>0.50962962962962999</v>
      </c>
      <c r="R428" s="4">
        <v>0.76874999999999993</v>
      </c>
      <c r="T428" s="13"/>
      <c r="U428" s="10">
        <v>37.232999999999997</v>
      </c>
      <c r="V428" s="2"/>
      <c r="W428" s="2" t="str">
        <f t="shared" si="97"/>
        <v>6:13:08</v>
      </c>
      <c r="X428" s="10">
        <v>0.11700000000000001</v>
      </c>
      <c r="Y428" s="12">
        <f t="shared" si="100"/>
        <v>37.116</v>
      </c>
      <c r="AA428" s="10">
        <f t="shared" si="101"/>
        <v>37.116</v>
      </c>
      <c r="AB428" s="10" t="s">
        <v>90</v>
      </c>
    </row>
    <row r="429" spans="1:28" ht="15" customHeight="1" x14ac:dyDescent="0.25">
      <c r="A429">
        <v>120</v>
      </c>
      <c r="B429" t="s">
        <v>68</v>
      </c>
      <c r="C429" t="s">
        <v>69</v>
      </c>
      <c r="D429" t="s">
        <v>12</v>
      </c>
      <c r="E429" t="s">
        <v>61</v>
      </c>
      <c r="F429" s="1">
        <v>45006</v>
      </c>
      <c r="G429" s="1">
        <v>45121</v>
      </c>
      <c r="H429">
        <f t="shared" si="94"/>
        <v>115</v>
      </c>
      <c r="J429">
        <v>30</v>
      </c>
      <c r="K429">
        <v>154</v>
      </c>
      <c r="L429">
        <v>1</v>
      </c>
      <c r="O429" s="2">
        <v>33.54</v>
      </c>
      <c r="P429" s="3">
        <v>1.4524999999999999</v>
      </c>
      <c r="Q429" s="4">
        <v>0.47916666666666702</v>
      </c>
      <c r="R429" s="4">
        <v>0.73888888888888893</v>
      </c>
      <c r="S429" s="2"/>
      <c r="T429" s="13"/>
      <c r="V429" s="10"/>
      <c r="W429" s="2" t="str">
        <f t="shared" si="97"/>
        <v>6:14:00</v>
      </c>
      <c r="Y429" s="12"/>
      <c r="AA429" s="10">
        <v>37.119999999999997</v>
      </c>
      <c r="AB429" s="10" t="s">
        <v>91</v>
      </c>
    </row>
    <row r="430" spans="1:28" ht="15" customHeight="1" x14ac:dyDescent="0.25">
      <c r="A430">
        <v>120</v>
      </c>
      <c r="B430" t="s">
        <v>68</v>
      </c>
      <c r="C430" t="s">
        <v>69</v>
      </c>
      <c r="D430" t="s">
        <v>12</v>
      </c>
      <c r="E430" t="s">
        <v>61</v>
      </c>
      <c r="F430" s="1">
        <v>45006</v>
      </c>
      <c r="G430" s="1">
        <v>45118</v>
      </c>
      <c r="H430">
        <f t="shared" si="94"/>
        <v>112</v>
      </c>
      <c r="J430">
        <v>30</v>
      </c>
      <c r="K430">
        <v>154</v>
      </c>
      <c r="L430">
        <v>1</v>
      </c>
      <c r="O430" s="2">
        <v>34.1</v>
      </c>
      <c r="P430" s="3">
        <v>1.4384999999999999</v>
      </c>
      <c r="Q430" s="4">
        <v>0.5541666666666667</v>
      </c>
      <c r="R430" s="4">
        <v>0.81388888888888899</v>
      </c>
      <c r="S430" s="2"/>
      <c r="T430" s="13"/>
      <c r="V430" s="10"/>
      <c r="W430" s="2" t="str">
        <f t="shared" si="97"/>
        <v>6:14:00</v>
      </c>
      <c r="Y430" s="12"/>
      <c r="AA430" s="10">
        <v>37.130000000000003</v>
      </c>
      <c r="AB430" s="10" t="s">
        <v>91</v>
      </c>
    </row>
    <row r="431" spans="1:28" ht="15" customHeight="1" x14ac:dyDescent="0.25">
      <c r="A431">
        <v>107</v>
      </c>
      <c r="B431" t="s">
        <v>59</v>
      </c>
      <c r="C431" t="s">
        <v>60</v>
      </c>
      <c r="D431" t="s">
        <v>12</v>
      </c>
      <c r="E431" t="s">
        <v>61</v>
      </c>
      <c r="F431" s="1">
        <v>44990</v>
      </c>
      <c r="G431" s="1">
        <v>45120</v>
      </c>
      <c r="H431">
        <f t="shared" si="94"/>
        <v>130</v>
      </c>
      <c r="I431" t="s">
        <v>36</v>
      </c>
      <c r="J431">
        <v>28.5</v>
      </c>
      <c r="K431">
        <v>247</v>
      </c>
      <c r="L431">
        <v>1</v>
      </c>
      <c r="M431">
        <v>6</v>
      </c>
      <c r="N431">
        <v>3</v>
      </c>
      <c r="O431" s="2">
        <v>35.729999999999997</v>
      </c>
      <c r="P431" s="3">
        <v>1.8968</v>
      </c>
      <c r="Q431" s="4">
        <v>0.493229166666667</v>
      </c>
      <c r="R431" s="4">
        <v>0.75208333333333333</v>
      </c>
      <c r="T431" s="13">
        <v>37.200000000000003</v>
      </c>
      <c r="U431" s="10">
        <v>37.142000000000003</v>
      </c>
      <c r="V431" s="2">
        <f>U431-T431</f>
        <v>-5.7999999999999829E-2</v>
      </c>
      <c r="W431" s="2" t="str">
        <f t="shared" si="97"/>
        <v>6:12:45</v>
      </c>
      <c r="X431" s="10">
        <v>5.5E-2</v>
      </c>
      <c r="Y431" s="12">
        <f t="shared" ref="Y431:Y450" si="102">U431-X431</f>
        <v>37.087000000000003</v>
      </c>
      <c r="Z431" s="10">
        <f>Y431-T431</f>
        <v>-0.11299999999999955</v>
      </c>
      <c r="AA431" s="10">
        <f t="shared" ref="AA431:AA450" si="103">AVERAGE(Y431,T431)</f>
        <v>37.143500000000003</v>
      </c>
      <c r="AB431" s="10" t="s">
        <v>90</v>
      </c>
    </row>
    <row r="432" spans="1:28" ht="15" customHeight="1" x14ac:dyDescent="0.25">
      <c r="A432">
        <v>107</v>
      </c>
      <c r="B432" t="s">
        <v>59</v>
      </c>
      <c r="C432" t="s">
        <v>60</v>
      </c>
      <c r="D432" t="s">
        <v>12</v>
      </c>
      <c r="E432" t="s">
        <v>61</v>
      </c>
      <c r="F432" s="1">
        <v>44990</v>
      </c>
      <c r="G432" s="1">
        <v>45120</v>
      </c>
      <c r="H432">
        <f t="shared" si="94"/>
        <v>130</v>
      </c>
      <c r="I432" t="s">
        <v>38</v>
      </c>
      <c r="J432">
        <v>31.5</v>
      </c>
      <c r="K432">
        <v>159</v>
      </c>
      <c r="L432">
        <v>1</v>
      </c>
      <c r="M432">
        <v>6</v>
      </c>
      <c r="N432">
        <v>1</v>
      </c>
      <c r="O432" s="2">
        <v>34.950000000000003</v>
      </c>
      <c r="P432" s="3">
        <v>1.7019</v>
      </c>
      <c r="Q432" s="4">
        <v>0.493229166666667</v>
      </c>
      <c r="R432" s="4">
        <v>0.75208333333333333</v>
      </c>
      <c r="T432" s="13">
        <v>37.200000000000003</v>
      </c>
      <c r="U432" s="10">
        <v>37.142000000000003</v>
      </c>
      <c r="V432" s="2">
        <f>U432-T432</f>
        <v>-5.7999999999999829E-2</v>
      </c>
      <c r="W432" s="2" t="str">
        <f t="shared" ref="W432:W466" si="104">TEXT(R432-Q432,"h:mm:ss")</f>
        <v>6:12:45</v>
      </c>
      <c r="X432" s="10">
        <v>5.5E-2</v>
      </c>
      <c r="Y432" s="12">
        <f t="shared" si="102"/>
        <v>37.087000000000003</v>
      </c>
      <c r="Z432" s="10">
        <f>Y432-T432</f>
        <v>-0.11299999999999955</v>
      </c>
      <c r="AA432" s="10">
        <f t="shared" si="103"/>
        <v>37.143500000000003</v>
      </c>
      <c r="AB432" s="10" t="s">
        <v>90</v>
      </c>
    </row>
    <row r="433" spans="1:28" ht="15" customHeight="1" x14ac:dyDescent="0.25">
      <c r="A433">
        <v>110</v>
      </c>
      <c r="B433" t="s">
        <v>66</v>
      </c>
      <c r="C433" t="s">
        <v>67</v>
      </c>
      <c r="D433" t="s">
        <v>12</v>
      </c>
      <c r="E433" t="s">
        <v>61</v>
      </c>
      <c r="F433" s="1">
        <v>44992</v>
      </c>
      <c r="G433" s="1">
        <v>45119</v>
      </c>
      <c r="H433">
        <f t="shared" si="94"/>
        <v>127</v>
      </c>
      <c r="I433" t="s">
        <v>37</v>
      </c>
      <c r="J433">
        <v>30</v>
      </c>
      <c r="K433">
        <v>151</v>
      </c>
      <c r="L433">
        <v>2</v>
      </c>
      <c r="M433">
        <v>2</v>
      </c>
      <c r="N433">
        <v>3</v>
      </c>
      <c r="O433" s="2">
        <v>32.32</v>
      </c>
      <c r="P433" s="3">
        <v>1.3884000000000001</v>
      </c>
      <c r="Q433" s="4">
        <v>0.50962962962962999</v>
      </c>
      <c r="R433" s="4">
        <v>0.76527777777777783</v>
      </c>
      <c r="T433" s="13"/>
      <c r="U433" s="10">
        <v>37.201999999999998</v>
      </c>
      <c r="V433" s="2"/>
      <c r="W433" s="2" t="str">
        <f t="shared" si="104"/>
        <v>6:08:08</v>
      </c>
      <c r="X433" s="10">
        <v>5.6599999999999998E-2</v>
      </c>
      <c r="Y433" s="12">
        <f t="shared" si="102"/>
        <v>37.145399999999995</v>
      </c>
      <c r="AA433" s="10">
        <f t="shared" si="103"/>
        <v>37.145399999999995</v>
      </c>
      <c r="AB433" s="10" t="s">
        <v>90</v>
      </c>
    </row>
    <row r="434" spans="1:28" ht="15" customHeight="1" x14ac:dyDescent="0.25">
      <c r="A434">
        <v>107</v>
      </c>
      <c r="B434" t="s">
        <v>59</v>
      </c>
      <c r="C434" t="s">
        <v>60</v>
      </c>
      <c r="D434" t="s">
        <v>12</v>
      </c>
      <c r="E434" t="s">
        <v>61</v>
      </c>
      <c r="F434" s="1">
        <v>44990</v>
      </c>
      <c r="G434" s="1">
        <v>45113</v>
      </c>
      <c r="H434">
        <f t="shared" si="94"/>
        <v>123</v>
      </c>
      <c r="I434" t="s">
        <v>36</v>
      </c>
      <c r="J434">
        <v>31.5</v>
      </c>
      <c r="K434">
        <v>123</v>
      </c>
      <c r="L434">
        <v>2</v>
      </c>
      <c r="M434">
        <v>3</v>
      </c>
      <c r="N434">
        <v>1</v>
      </c>
      <c r="O434" s="2">
        <v>28.35</v>
      </c>
      <c r="P434" s="3">
        <v>0.91979999999999995</v>
      </c>
      <c r="Q434" s="4">
        <v>0.48844907407407401</v>
      </c>
      <c r="R434" s="4">
        <v>0.74722222222222223</v>
      </c>
      <c r="T434" s="13">
        <v>37.1</v>
      </c>
      <c r="U434" s="10">
        <v>37.314999999999998</v>
      </c>
      <c r="V434" s="8">
        <f t="shared" ref="V434:V439" si="105">U434-T434</f>
        <v>0.21499999999999631</v>
      </c>
      <c r="W434" s="2" t="str">
        <f t="shared" si="104"/>
        <v>6:12:38</v>
      </c>
      <c r="X434" s="10">
        <v>0.124</v>
      </c>
      <c r="Y434" s="12">
        <f t="shared" si="102"/>
        <v>37.190999999999995</v>
      </c>
      <c r="Z434" s="10">
        <f t="shared" ref="Z434:Z439" si="106">Y434-T434</f>
        <v>9.0999999999993975E-2</v>
      </c>
      <c r="AA434" s="10">
        <f t="shared" si="103"/>
        <v>37.145499999999998</v>
      </c>
      <c r="AB434" s="10" t="s">
        <v>90</v>
      </c>
    </row>
    <row r="435" spans="1:28" ht="15" customHeight="1" x14ac:dyDescent="0.25">
      <c r="A435">
        <v>107</v>
      </c>
      <c r="B435" t="s">
        <v>59</v>
      </c>
      <c r="C435" t="s">
        <v>60</v>
      </c>
      <c r="D435" t="s">
        <v>12</v>
      </c>
      <c r="E435" t="s">
        <v>61</v>
      </c>
      <c r="F435" s="1">
        <v>44990</v>
      </c>
      <c r="G435" s="1">
        <v>45113</v>
      </c>
      <c r="H435">
        <f t="shared" si="94"/>
        <v>123</v>
      </c>
      <c r="I435" t="s">
        <v>36</v>
      </c>
      <c r="J435">
        <v>31.5</v>
      </c>
      <c r="K435">
        <v>123</v>
      </c>
      <c r="L435">
        <v>2</v>
      </c>
      <c r="M435">
        <v>3</v>
      </c>
      <c r="N435">
        <v>5</v>
      </c>
      <c r="O435" s="2">
        <v>33</v>
      </c>
      <c r="P435" s="3">
        <v>1.5561</v>
      </c>
      <c r="Q435" s="4">
        <v>0.48844907407407401</v>
      </c>
      <c r="R435" s="4">
        <v>0.74722222222222223</v>
      </c>
      <c r="T435" s="13">
        <v>37.1</v>
      </c>
      <c r="U435" s="10">
        <v>37.314999999999998</v>
      </c>
      <c r="V435" s="8">
        <f t="shared" si="105"/>
        <v>0.21499999999999631</v>
      </c>
      <c r="W435" s="2" t="str">
        <f t="shared" si="104"/>
        <v>6:12:38</v>
      </c>
      <c r="X435" s="10">
        <v>0.124</v>
      </c>
      <c r="Y435" s="12">
        <f t="shared" si="102"/>
        <v>37.190999999999995</v>
      </c>
      <c r="Z435" s="10">
        <f t="shared" si="106"/>
        <v>9.0999999999993975E-2</v>
      </c>
      <c r="AA435" s="10">
        <f t="shared" si="103"/>
        <v>37.145499999999998</v>
      </c>
      <c r="AB435" s="10" t="s">
        <v>90</v>
      </c>
    </row>
    <row r="436" spans="1:28" ht="15" customHeight="1" x14ac:dyDescent="0.25">
      <c r="A436">
        <v>107</v>
      </c>
      <c r="B436" t="s">
        <v>59</v>
      </c>
      <c r="C436" t="s">
        <v>60</v>
      </c>
      <c r="D436" t="s">
        <v>12</v>
      </c>
      <c r="E436" t="s">
        <v>61</v>
      </c>
      <c r="F436" s="1">
        <v>44990</v>
      </c>
      <c r="G436" s="1">
        <v>45113</v>
      </c>
      <c r="H436">
        <f t="shared" si="94"/>
        <v>123</v>
      </c>
      <c r="I436" t="s">
        <v>36</v>
      </c>
      <c r="J436">
        <v>31.5</v>
      </c>
      <c r="K436">
        <v>123</v>
      </c>
      <c r="L436">
        <v>2</v>
      </c>
      <c r="M436">
        <v>3</v>
      </c>
      <c r="N436">
        <v>2</v>
      </c>
      <c r="O436" s="2">
        <v>36.79</v>
      </c>
      <c r="P436" s="3">
        <v>2.1539999999999999</v>
      </c>
      <c r="Q436" s="4">
        <v>0.48844907407407401</v>
      </c>
      <c r="R436" s="4">
        <v>0.74722222222222223</v>
      </c>
      <c r="T436" s="13">
        <v>37.1</v>
      </c>
      <c r="U436" s="10">
        <v>37.314999999999998</v>
      </c>
      <c r="V436" s="8">
        <f t="shared" si="105"/>
        <v>0.21499999999999631</v>
      </c>
      <c r="W436" s="2" t="str">
        <f t="shared" si="104"/>
        <v>6:12:38</v>
      </c>
      <c r="X436" s="10">
        <v>0.124</v>
      </c>
      <c r="Y436" s="12">
        <f t="shared" si="102"/>
        <v>37.190999999999995</v>
      </c>
      <c r="Z436" s="10">
        <f t="shared" si="106"/>
        <v>9.0999999999993975E-2</v>
      </c>
      <c r="AA436" s="10">
        <f t="shared" si="103"/>
        <v>37.145499999999998</v>
      </c>
      <c r="AB436" s="10" t="s">
        <v>90</v>
      </c>
    </row>
    <row r="437" spans="1:28" ht="15" customHeight="1" x14ac:dyDescent="0.25">
      <c r="A437">
        <v>107</v>
      </c>
      <c r="B437" t="s">
        <v>59</v>
      </c>
      <c r="C437" t="s">
        <v>60</v>
      </c>
      <c r="D437" t="s">
        <v>12</v>
      </c>
      <c r="E437" t="s">
        <v>61</v>
      </c>
      <c r="F437" s="1">
        <v>44990</v>
      </c>
      <c r="G437" s="1">
        <v>45120</v>
      </c>
      <c r="H437">
        <f t="shared" si="94"/>
        <v>130</v>
      </c>
      <c r="I437" t="s">
        <v>36</v>
      </c>
      <c r="J437">
        <v>28.5</v>
      </c>
      <c r="K437">
        <v>247</v>
      </c>
      <c r="L437">
        <v>1</v>
      </c>
      <c r="M437">
        <v>6</v>
      </c>
      <c r="N437">
        <v>2</v>
      </c>
      <c r="O437" s="2">
        <v>25.33</v>
      </c>
      <c r="P437" s="3">
        <v>1.6111</v>
      </c>
      <c r="Q437" s="4">
        <v>0.493229166666667</v>
      </c>
      <c r="R437" s="4">
        <v>0.75347222222222221</v>
      </c>
      <c r="T437" s="13">
        <v>37.200000000000003</v>
      </c>
      <c r="U437" s="10">
        <v>37.151000000000003</v>
      </c>
      <c r="V437" s="2">
        <f t="shared" si="105"/>
        <v>-4.8999999999999488E-2</v>
      </c>
      <c r="W437" s="2" t="str">
        <f t="shared" si="104"/>
        <v>6:14:45</v>
      </c>
      <c r="X437" s="10">
        <v>5.5E-2</v>
      </c>
      <c r="Y437" s="12">
        <f t="shared" si="102"/>
        <v>37.096000000000004</v>
      </c>
      <c r="Z437" s="10">
        <f t="shared" si="106"/>
        <v>-0.1039999999999992</v>
      </c>
      <c r="AA437" s="10">
        <f t="shared" si="103"/>
        <v>37.148000000000003</v>
      </c>
      <c r="AB437" s="10" t="s">
        <v>90</v>
      </c>
    </row>
    <row r="438" spans="1:28" ht="15" customHeight="1" x14ac:dyDescent="0.25">
      <c r="A438">
        <v>107</v>
      </c>
      <c r="B438" t="s">
        <v>59</v>
      </c>
      <c r="C438" t="s">
        <v>60</v>
      </c>
      <c r="D438" t="s">
        <v>12</v>
      </c>
      <c r="E438" t="s">
        <v>61</v>
      </c>
      <c r="F438" s="1">
        <v>44990</v>
      </c>
      <c r="G438" s="1">
        <v>45120</v>
      </c>
      <c r="H438">
        <f t="shared" si="94"/>
        <v>130</v>
      </c>
      <c r="I438" t="s">
        <v>38</v>
      </c>
      <c r="J438">
        <v>31.5</v>
      </c>
      <c r="K438">
        <v>159</v>
      </c>
      <c r="L438">
        <v>1</v>
      </c>
      <c r="M438">
        <v>6</v>
      </c>
      <c r="N438">
        <v>5</v>
      </c>
      <c r="O438" s="2">
        <v>29.81</v>
      </c>
      <c r="P438" s="3">
        <v>1.1200000000000001</v>
      </c>
      <c r="Q438" s="4">
        <v>0.493229166666667</v>
      </c>
      <c r="R438" s="4">
        <v>0.75347222222222221</v>
      </c>
      <c r="T438" s="13">
        <v>37.200000000000003</v>
      </c>
      <c r="U438" s="10">
        <v>37.151000000000003</v>
      </c>
      <c r="V438" s="2">
        <f t="shared" si="105"/>
        <v>-4.8999999999999488E-2</v>
      </c>
      <c r="W438" s="2" t="str">
        <f t="shared" si="104"/>
        <v>6:14:45</v>
      </c>
      <c r="X438" s="10">
        <v>5.5E-2</v>
      </c>
      <c r="Y438" s="12">
        <f t="shared" si="102"/>
        <v>37.096000000000004</v>
      </c>
      <c r="Z438" s="10">
        <f t="shared" si="106"/>
        <v>-0.1039999999999992</v>
      </c>
      <c r="AA438" s="10">
        <f t="shared" si="103"/>
        <v>37.148000000000003</v>
      </c>
      <c r="AB438" s="10" t="s">
        <v>90</v>
      </c>
    </row>
    <row r="439" spans="1:28" ht="15" customHeight="1" x14ac:dyDescent="0.25">
      <c r="A439">
        <v>107</v>
      </c>
      <c r="B439" t="s">
        <v>59</v>
      </c>
      <c r="C439" t="s">
        <v>60</v>
      </c>
      <c r="D439" t="s">
        <v>12</v>
      </c>
      <c r="E439" t="s">
        <v>61</v>
      </c>
      <c r="F439" s="1">
        <v>44990</v>
      </c>
      <c r="G439" s="1">
        <v>45120</v>
      </c>
      <c r="H439">
        <f t="shared" si="94"/>
        <v>130</v>
      </c>
      <c r="I439" t="s">
        <v>38</v>
      </c>
      <c r="J439">
        <v>31.5</v>
      </c>
      <c r="K439">
        <v>159</v>
      </c>
      <c r="L439">
        <v>1</v>
      </c>
      <c r="M439">
        <v>6</v>
      </c>
      <c r="N439">
        <v>4</v>
      </c>
      <c r="O439" s="2">
        <v>30.8</v>
      </c>
      <c r="P439" s="3">
        <v>1.2565999999999999</v>
      </c>
      <c r="Q439" s="4">
        <v>0.493229166666667</v>
      </c>
      <c r="R439" s="4">
        <v>0.75347222222222221</v>
      </c>
      <c r="T439" s="13">
        <v>37.200000000000003</v>
      </c>
      <c r="U439" s="10">
        <v>37.151000000000003</v>
      </c>
      <c r="V439" s="2">
        <f t="shared" si="105"/>
        <v>-4.8999999999999488E-2</v>
      </c>
      <c r="W439" s="2" t="str">
        <f t="shared" si="104"/>
        <v>6:14:45</v>
      </c>
      <c r="X439" s="10">
        <v>5.5E-2</v>
      </c>
      <c r="Y439" s="12">
        <f t="shared" si="102"/>
        <v>37.096000000000004</v>
      </c>
      <c r="Z439" s="10">
        <f t="shared" si="106"/>
        <v>-0.1039999999999992</v>
      </c>
      <c r="AA439" s="10">
        <f t="shared" si="103"/>
        <v>37.148000000000003</v>
      </c>
      <c r="AB439" s="10" t="s">
        <v>90</v>
      </c>
    </row>
    <row r="440" spans="1:28" ht="15" customHeight="1" x14ac:dyDescent="0.25">
      <c r="A440">
        <v>110</v>
      </c>
      <c r="B440" t="s">
        <v>66</v>
      </c>
      <c r="C440" t="s">
        <v>67</v>
      </c>
      <c r="D440" t="s">
        <v>12</v>
      </c>
      <c r="E440" t="s">
        <v>61</v>
      </c>
      <c r="F440" s="1">
        <v>44992</v>
      </c>
      <c r="G440" s="1">
        <v>45119</v>
      </c>
      <c r="H440">
        <f t="shared" si="94"/>
        <v>127</v>
      </c>
      <c r="I440" t="s">
        <v>36</v>
      </c>
      <c r="J440">
        <v>31.5</v>
      </c>
      <c r="K440">
        <v>325</v>
      </c>
      <c r="L440">
        <v>2</v>
      </c>
      <c r="M440">
        <v>2</v>
      </c>
      <c r="N440">
        <v>3</v>
      </c>
      <c r="O440" s="2">
        <v>31.27</v>
      </c>
      <c r="P440" s="3">
        <v>1.1842999999999999</v>
      </c>
      <c r="Q440" s="4">
        <v>0.50962962962962999</v>
      </c>
      <c r="R440" s="4">
        <v>0.76527777777777783</v>
      </c>
      <c r="T440" s="13"/>
      <c r="U440" s="10">
        <v>37.206000000000003</v>
      </c>
      <c r="V440" s="2"/>
      <c r="W440" s="2" t="str">
        <f t="shared" si="104"/>
        <v>6:08:08</v>
      </c>
      <c r="X440" s="10">
        <v>5.6599999999999998E-2</v>
      </c>
      <c r="Y440" s="12">
        <f t="shared" si="102"/>
        <v>37.1494</v>
      </c>
      <c r="AA440" s="10">
        <f t="shared" si="103"/>
        <v>37.1494</v>
      </c>
      <c r="AB440" s="10" t="s">
        <v>90</v>
      </c>
    </row>
    <row r="441" spans="1:28" ht="15" customHeight="1" x14ac:dyDescent="0.25">
      <c r="A441">
        <v>110</v>
      </c>
      <c r="B441" t="s">
        <v>66</v>
      </c>
      <c r="C441" t="s">
        <v>67</v>
      </c>
      <c r="D441" t="s">
        <v>12</v>
      </c>
      <c r="E441" t="s">
        <v>61</v>
      </c>
      <c r="F441" s="1">
        <v>44992</v>
      </c>
      <c r="G441" s="1">
        <v>45120</v>
      </c>
      <c r="H441">
        <f t="shared" si="94"/>
        <v>128</v>
      </c>
      <c r="I441" t="s">
        <v>38</v>
      </c>
      <c r="J441">
        <v>31.5</v>
      </c>
      <c r="K441">
        <v>360</v>
      </c>
      <c r="L441">
        <v>1</v>
      </c>
      <c r="M441">
        <v>2</v>
      </c>
      <c r="N441">
        <v>3</v>
      </c>
      <c r="O441" s="2">
        <v>25.61</v>
      </c>
      <c r="P441" s="3">
        <v>0.71509999999999996</v>
      </c>
      <c r="Q441" s="4">
        <v>0.493229166666667</v>
      </c>
      <c r="R441" s="4">
        <v>0.74791666666666667</v>
      </c>
      <c r="T441" s="13"/>
      <c r="U441" s="10">
        <v>37.151000000000003</v>
      </c>
      <c r="V441" s="2"/>
      <c r="W441" s="2" t="str">
        <f t="shared" si="104"/>
        <v>6:06:45</v>
      </c>
      <c r="X441" s="10">
        <v>0</v>
      </c>
      <c r="Y441" s="12">
        <f t="shared" si="102"/>
        <v>37.151000000000003</v>
      </c>
      <c r="AA441" s="10">
        <f t="shared" si="103"/>
        <v>37.151000000000003</v>
      </c>
      <c r="AB441" s="10" t="s">
        <v>90</v>
      </c>
    </row>
    <row r="442" spans="1:28" ht="15" customHeight="1" x14ac:dyDescent="0.25">
      <c r="A442">
        <v>120</v>
      </c>
      <c r="B442" t="s">
        <v>68</v>
      </c>
      <c r="C442" t="s">
        <v>69</v>
      </c>
      <c r="D442" t="s">
        <v>12</v>
      </c>
      <c r="E442" t="s">
        <v>61</v>
      </c>
      <c r="F442" s="1">
        <v>45006</v>
      </c>
      <c r="G442" s="1">
        <v>45120</v>
      </c>
      <c r="H442">
        <f t="shared" si="94"/>
        <v>114</v>
      </c>
      <c r="I442" t="s">
        <v>36</v>
      </c>
      <c r="J442">
        <v>28.5</v>
      </c>
      <c r="K442">
        <v>140</v>
      </c>
      <c r="L442">
        <v>2</v>
      </c>
      <c r="M442">
        <v>5</v>
      </c>
      <c r="N442">
        <v>2</v>
      </c>
      <c r="O442" s="2">
        <v>30.71</v>
      </c>
      <c r="P442" s="3">
        <v>1.1476999999999999</v>
      </c>
      <c r="Q442" s="4">
        <v>0.493229166666667</v>
      </c>
      <c r="R442" s="4">
        <v>0.74861111111111101</v>
      </c>
      <c r="T442" s="13">
        <v>37.200000000000003</v>
      </c>
      <c r="U442" s="10">
        <v>37.124000000000002</v>
      </c>
      <c r="V442" s="2">
        <f>U442-T442</f>
        <v>-7.6000000000000512E-2</v>
      </c>
      <c r="W442" s="2" t="str">
        <f t="shared" si="104"/>
        <v>6:07:45</v>
      </c>
      <c r="X442" s="10">
        <v>6.0000000000000001E-3</v>
      </c>
      <c r="Y442" s="12">
        <f t="shared" si="102"/>
        <v>37.118000000000002</v>
      </c>
      <c r="Z442" s="10">
        <f>Y442-T442</f>
        <v>-8.2000000000000739E-2</v>
      </c>
      <c r="AA442" s="10">
        <f t="shared" si="103"/>
        <v>37.159000000000006</v>
      </c>
      <c r="AB442" s="10" t="s">
        <v>90</v>
      </c>
    </row>
    <row r="443" spans="1:28" ht="15" customHeight="1" x14ac:dyDescent="0.25">
      <c r="A443">
        <v>120</v>
      </c>
      <c r="B443" t="s">
        <v>68</v>
      </c>
      <c r="C443" t="s">
        <v>69</v>
      </c>
      <c r="D443" t="s">
        <v>12</v>
      </c>
      <c r="E443" t="s">
        <v>61</v>
      </c>
      <c r="F443" s="1">
        <v>45006</v>
      </c>
      <c r="G443" s="1">
        <v>45120</v>
      </c>
      <c r="H443">
        <f t="shared" si="94"/>
        <v>114</v>
      </c>
      <c r="I443" t="s">
        <v>37</v>
      </c>
      <c r="J443">
        <v>30</v>
      </c>
      <c r="K443">
        <v>154</v>
      </c>
      <c r="L443">
        <v>1</v>
      </c>
      <c r="M443">
        <v>5</v>
      </c>
      <c r="N443">
        <v>5</v>
      </c>
      <c r="O443" s="2">
        <v>27.55</v>
      </c>
      <c r="P443" s="3">
        <v>0.80100000000000005</v>
      </c>
      <c r="Q443" s="4">
        <v>0.493229166666667</v>
      </c>
      <c r="R443" s="4">
        <v>0.74861111111111101</v>
      </c>
      <c r="T443" s="13">
        <v>37.200000000000003</v>
      </c>
      <c r="U443" s="10">
        <v>37.124000000000002</v>
      </c>
      <c r="V443" s="2">
        <f>U443-T443</f>
        <v>-7.6000000000000512E-2</v>
      </c>
      <c r="W443" s="2" t="str">
        <f t="shared" si="104"/>
        <v>6:07:45</v>
      </c>
      <c r="X443" s="10">
        <v>6.0000000000000001E-3</v>
      </c>
      <c r="Y443" s="12">
        <f t="shared" si="102"/>
        <v>37.118000000000002</v>
      </c>
      <c r="Z443" s="10">
        <f>Y443-T443</f>
        <v>-8.2000000000000739E-2</v>
      </c>
      <c r="AA443" s="10">
        <f t="shared" si="103"/>
        <v>37.159000000000006</v>
      </c>
      <c r="AB443" s="10" t="s">
        <v>90</v>
      </c>
    </row>
    <row r="444" spans="1:28" ht="15" customHeight="1" x14ac:dyDescent="0.25">
      <c r="A444">
        <v>120</v>
      </c>
      <c r="B444" t="s">
        <v>68</v>
      </c>
      <c r="C444" t="s">
        <v>69</v>
      </c>
      <c r="D444" t="s">
        <v>12</v>
      </c>
      <c r="E444" t="s">
        <v>61</v>
      </c>
      <c r="F444" s="1">
        <v>45006</v>
      </c>
      <c r="G444" s="1">
        <v>45120</v>
      </c>
      <c r="H444">
        <f t="shared" si="94"/>
        <v>114</v>
      </c>
      <c r="I444" t="s">
        <v>38</v>
      </c>
      <c r="J444">
        <v>31.5</v>
      </c>
      <c r="K444">
        <v>326</v>
      </c>
      <c r="L444">
        <v>2</v>
      </c>
      <c r="M444">
        <v>5</v>
      </c>
      <c r="N444">
        <v>1</v>
      </c>
      <c r="O444" s="2">
        <v>27.82</v>
      </c>
      <c r="P444" s="3">
        <v>0.76029999999999998</v>
      </c>
      <c r="Q444" s="4">
        <v>0.493229166666667</v>
      </c>
      <c r="R444" s="4">
        <v>0.74861111111111101</v>
      </c>
      <c r="T444" s="13">
        <v>37.200000000000003</v>
      </c>
      <c r="U444" s="10">
        <v>37.124000000000002</v>
      </c>
      <c r="V444" s="2">
        <f>U444-T444</f>
        <v>-7.6000000000000512E-2</v>
      </c>
      <c r="W444" s="2" t="str">
        <f t="shared" si="104"/>
        <v>6:07:45</v>
      </c>
      <c r="X444" s="10">
        <v>6.0000000000000001E-3</v>
      </c>
      <c r="Y444" s="12">
        <f t="shared" si="102"/>
        <v>37.118000000000002</v>
      </c>
      <c r="Z444" s="10">
        <f>Y444-T444</f>
        <v>-8.2000000000000739E-2</v>
      </c>
      <c r="AA444" s="10">
        <f t="shared" si="103"/>
        <v>37.159000000000006</v>
      </c>
      <c r="AB444" s="10" t="s">
        <v>90</v>
      </c>
    </row>
    <row r="445" spans="1:28" ht="15" customHeight="1" x14ac:dyDescent="0.25">
      <c r="A445">
        <v>120</v>
      </c>
      <c r="B445" t="s">
        <v>68</v>
      </c>
      <c r="C445" t="s">
        <v>69</v>
      </c>
      <c r="D445" t="s">
        <v>12</v>
      </c>
      <c r="E445" t="s">
        <v>61</v>
      </c>
      <c r="F445" s="1">
        <v>45006</v>
      </c>
      <c r="G445" s="1">
        <v>45120</v>
      </c>
      <c r="H445">
        <f t="shared" si="94"/>
        <v>114</v>
      </c>
      <c r="I445" t="s">
        <v>38</v>
      </c>
      <c r="J445">
        <v>31.5</v>
      </c>
      <c r="K445">
        <v>326</v>
      </c>
      <c r="L445">
        <v>2</v>
      </c>
      <c r="M445">
        <v>5</v>
      </c>
      <c r="N445">
        <v>4</v>
      </c>
      <c r="O445" s="2">
        <v>27.75</v>
      </c>
      <c r="P445" s="3">
        <v>0.9234</v>
      </c>
      <c r="Q445" s="4">
        <v>0.493229166666667</v>
      </c>
      <c r="R445" s="4">
        <v>0.74861111111111101</v>
      </c>
      <c r="T445" s="13">
        <v>37.200000000000003</v>
      </c>
      <c r="U445" s="10">
        <v>37.124000000000002</v>
      </c>
      <c r="V445" s="2">
        <f>U445-T445</f>
        <v>-7.6000000000000512E-2</v>
      </c>
      <c r="W445" s="2" t="str">
        <f t="shared" si="104"/>
        <v>6:07:45</v>
      </c>
      <c r="X445" s="10">
        <v>6.0000000000000001E-3</v>
      </c>
      <c r="Y445" s="12">
        <f t="shared" si="102"/>
        <v>37.118000000000002</v>
      </c>
      <c r="Z445" s="10">
        <f>Y445-T445</f>
        <v>-8.2000000000000739E-2</v>
      </c>
      <c r="AA445" s="10">
        <f t="shared" si="103"/>
        <v>37.159000000000006</v>
      </c>
      <c r="AB445" s="10" t="s">
        <v>90</v>
      </c>
    </row>
    <row r="446" spans="1:28" ht="15" customHeight="1" x14ac:dyDescent="0.25">
      <c r="A446">
        <v>107</v>
      </c>
      <c r="B446" t="s">
        <v>59</v>
      </c>
      <c r="C446" t="s">
        <v>60</v>
      </c>
      <c r="D446" t="s">
        <v>12</v>
      </c>
      <c r="E446" t="s">
        <v>61</v>
      </c>
      <c r="F446" s="1">
        <v>44990</v>
      </c>
      <c r="G446" s="1">
        <v>45113</v>
      </c>
      <c r="H446">
        <f t="shared" si="94"/>
        <v>123</v>
      </c>
      <c r="I446" t="s">
        <v>36</v>
      </c>
      <c r="J446">
        <v>31.5</v>
      </c>
      <c r="K446">
        <v>123</v>
      </c>
      <c r="L446">
        <v>2</v>
      </c>
      <c r="M446">
        <v>3</v>
      </c>
      <c r="N446">
        <v>4</v>
      </c>
      <c r="O446" s="2">
        <v>38.67</v>
      </c>
      <c r="P446" s="3">
        <v>2.6337999999999999</v>
      </c>
      <c r="Q446" s="4">
        <v>0.48844907407407401</v>
      </c>
      <c r="R446" s="4">
        <v>0.74930555555555556</v>
      </c>
      <c r="T446" s="13">
        <v>37.1</v>
      </c>
      <c r="U446" s="10">
        <v>37.369999999999997</v>
      </c>
      <c r="V446" s="8">
        <f>U446-T446</f>
        <v>0.26999999999999602</v>
      </c>
      <c r="W446" s="2" t="str">
        <f t="shared" si="104"/>
        <v>6:15:38</v>
      </c>
      <c r="X446" s="10">
        <v>0.124</v>
      </c>
      <c r="Y446" s="12">
        <f t="shared" si="102"/>
        <v>37.245999999999995</v>
      </c>
      <c r="Z446" s="10">
        <f>Y446-T446</f>
        <v>0.14599999999999369</v>
      </c>
      <c r="AA446" s="10">
        <f t="shared" si="103"/>
        <v>37.173000000000002</v>
      </c>
      <c r="AB446" s="10" t="s">
        <v>90</v>
      </c>
    </row>
    <row r="447" spans="1:28" ht="15" customHeight="1" x14ac:dyDescent="0.25">
      <c r="A447">
        <v>107</v>
      </c>
      <c r="B447" t="s">
        <v>59</v>
      </c>
      <c r="C447" t="s">
        <v>60</v>
      </c>
      <c r="D447" t="s">
        <v>12</v>
      </c>
      <c r="E447" t="s">
        <v>61</v>
      </c>
      <c r="F447" s="1">
        <v>44990</v>
      </c>
      <c r="G447" s="1">
        <v>45120</v>
      </c>
      <c r="H447">
        <f t="shared" si="94"/>
        <v>130</v>
      </c>
      <c r="I447" t="s">
        <v>38</v>
      </c>
      <c r="J447">
        <v>31.5</v>
      </c>
      <c r="K447">
        <v>159</v>
      </c>
      <c r="L447">
        <v>1</v>
      </c>
      <c r="M447">
        <v>6</v>
      </c>
      <c r="N447">
        <v>2</v>
      </c>
      <c r="O447" s="2">
        <v>32.24</v>
      </c>
      <c r="P447" s="3">
        <v>1.3631</v>
      </c>
      <c r="Q447" s="4">
        <v>0.493229166666667</v>
      </c>
      <c r="R447" s="4">
        <v>0.75624999999999998</v>
      </c>
      <c r="T447" s="13"/>
      <c r="U447" s="10">
        <v>37.232999999999997</v>
      </c>
      <c r="V447" s="2"/>
      <c r="W447" s="2" t="str">
        <f t="shared" si="104"/>
        <v>6:18:45</v>
      </c>
      <c r="X447" s="10">
        <v>5.5E-2</v>
      </c>
      <c r="Y447" s="12">
        <f t="shared" si="102"/>
        <v>37.177999999999997</v>
      </c>
      <c r="AA447" s="10">
        <f t="shared" si="103"/>
        <v>37.177999999999997</v>
      </c>
      <c r="AB447" s="10" t="s">
        <v>90</v>
      </c>
    </row>
    <row r="448" spans="1:28" ht="15" customHeight="1" x14ac:dyDescent="0.25">
      <c r="A448">
        <v>120</v>
      </c>
      <c r="B448" t="s">
        <v>68</v>
      </c>
      <c r="C448" t="s">
        <v>69</v>
      </c>
      <c r="D448" t="s">
        <v>12</v>
      </c>
      <c r="E448" t="s">
        <v>61</v>
      </c>
      <c r="F448" s="1">
        <v>45006</v>
      </c>
      <c r="G448" s="1">
        <v>45120</v>
      </c>
      <c r="H448">
        <f t="shared" si="94"/>
        <v>114</v>
      </c>
      <c r="I448" t="s">
        <v>36</v>
      </c>
      <c r="J448">
        <v>28.5</v>
      </c>
      <c r="K448">
        <v>140</v>
      </c>
      <c r="L448">
        <v>2</v>
      </c>
      <c r="M448">
        <v>5</v>
      </c>
      <c r="N448">
        <v>4</v>
      </c>
      <c r="O448" s="2">
        <v>32.75</v>
      </c>
      <c r="P448" s="3">
        <v>1.5267999999999999</v>
      </c>
      <c r="Q448" s="4">
        <v>0.493229166666667</v>
      </c>
      <c r="R448" s="4">
        <v>0.75138888888888899</v>
      </c>
      <c r="T448" s="13">
        <v>37.200000000000003</v>
      </c>
      <c r="U448" s="10">
        <v>37.177999999999997</v>
      </c>
      <c r="V448" s="2">
        <f>U448-T448</f>
        <v>-2.2000000000005571E-2</v>
      </c>
      <c r="W448" s="2" t="str">
        <f t="shared" si="104"/>
        <v>6:11:45</v>
      </c>
      <c r="X448" s="10">
        <v>6.0000000000000001E-3</v>
      </c>
      <c r="Y448" s="12">
        <f t="shared" si="102"/>
        <v>37.171999999999997</v>
      </c>
      <c r="Z448" s="10">
        <f>Y448-T448</f>
        <v>-2.8000000000005798E-2</v>
      </c>
      <c r="AA448" s="10">
        <f t="shared" si="103"/>
        <v>37.186</v>
      </c>
      <c r="AB448" s="10" t="s">
        <v>90</v>
      </c>
    </row>
    <row r="449" spans="1:28" ht="15" customHeight="1" x14ac:dyDescent="0.25">
      <c r="A449">
        <v>120</v>
      </c>
      <c r="B449" t="s">
        <v>68</v>
      </c>
      <c r="C449" t="s">
        <v>69</v>
      </c>
      <c r="D449" t="s">
        <v>12</v>
      </c>
      <c r="E449" t="s">
        <v>61</v>
      </c>
      <c r="F449" s="1">
        <v>45006</v>
      </c>
      <c r="G449" s="1">
        <v>45120</v>
      </c>
      <c r="H449">
        <f t="shared" si="94"/>
        <v>114</v>
      </c>
      <c r="I449" t="s">
        <v>38</v>
      </c>
      <c r="J449">
        <v>31.5</v>
      </c>
      <c r="K449">
        <v>326</v>
      </c>
      <c r="L449">
        <v>2</v>
      </c>
      <c r="M449">
        <v>5</v>
      </c>
      <c r="N449">
        <v>3</v>
      </c>
      <c r="O449" s="2">
        <v>32.79</v>
      </c>
      <c r="P449" s="3">
        <v>1.4155</v>
      </c>
      <c r="Q449" s="4">
        <v>0.493229166666667</v>
      </c>
      <c r="R449" s="4">
        <v>0.75138888888888899</v>
      </c>
      <c r="T449" s="13">
        <v>37.200000000000003</v>
      </c>
      <c r="U449" s="10">
        <v>37.177999999999997</v>
      </c>
      <c r="V449" s="2">
        <f>U449-T449</f>
        <v>-2.2000000000005571E-2</v>
      </c>
      <c r="W449" s="2" t="str">
        <f t="shared" si="104"/>
        <v>6:11:45</v>
      </c>
      <c r="X449" s="10">
        <v>6.0000000000000001E-3</v>
      </c>
      <c r="Y449" s="12">
        <f t="shared" si="102"/>
        <v>37.171999999999997</v>
      </c>
      <c r="Z449" s="10">
        <f>Y449-T449</f>
        <v>-2.8000000000005798E-2</v>
      </c>
      <c r="AA449" s="10">
        <f t="shared" si="103"/>
        <v>37.186</v>
      </c>
      <c r="AB449" s="10" t="s">
        <v>90</v>
      </c>
    </row>
    <row r="450" spans="1:28" ht="15" customHeight="1" x14ac:dyDescent="0.25">
      <c r="A450">
        <v>120</v>
      </c>
      <c r="B450" t="s">
        <v>68</v>
      </c>
      <c r="C450" t="s">
        <v>69</v>
      </c>
      <c r="D450" t="s">
        <v>12</v>
      </c>
      <c r="E450" t="s">
        <v>61</v>
      </c>
      <c r="F450" s="1">
        <v>45006</v>
      </c>
      <c r="G450" s="1">
        <v>45120</v>
      </c>
      <c r="H450">
        <f t="shared" ref="H450:H513" si="107">G450-F450</f>
        <v>114</v>
      </c>
      <c r="I450" t="s">
        <v>38</v>
      </c>
      <c r="J450">
        <v>31.5</v>
      </c>
      <c r="K450">
        <v>326</v>
      </c>
      <c r="L450">
        <v>2</v>
      </c>
      <c r="M450">
        <v>5</v>
      </c>
      <c r="N450">
        <v>2</v>
      </c>
      <c r="O450" s="2">
        <v>32.42</v>
      </c>
      <c r="P450" s="3">
        <v>1.4908999999999999</v>
      </c>
      <c r="Q450" s="4">
        <v>0.493229166666667</v>
      </c>
      <c r="R450" s="4">
        <v>0.75138888888888899</v>
      </c>
      <c r="T450" s="13">
        <v>37.200000000000003</v>
      </c>
      <c r="U450" s="10">
        <v>37.177999999999997</v>
      </c>
      <c r="V450" s="2">
        <f>U450-T450</f>
        <v>-2.2000000000005571E-2</v>
      </c>
      <c r="W450" s="2" t="str">
        <f t="shared" si="104"/>
        <v>6:11:45</v>
      </c>
      <c r="X450" s="10">
        <v>6.0000000000000001E-3</v>
      </c>
      <c r="Y450" s="12">
        <f t="shared" si="102"/>
        <v>37.171999999999997</v>
      </c>
      <c r="Z450" s="10">
        <f>Y450-T450</f>
        <v>-2.8000000000005798E-2</v>
      </c>
      <c r="AA450" s="10">
        <f t="shared" si="103"/>
        <v>37.186</v>
      </c>
      <c r="AB450" s="10" t="s">
        <v>90</v>
      </c>
    </row>
    <row r="451" spans="1:28" ht="15" customHeight="1" x14ac:dyDescent="0.25">
      <c r="A451">
        <v>107</v>
      </c>
      <c r="B451" t="s">
        <v>59</v>
      </c>
      <c r="C451" t="s">
        <v>60</v>
      </c>
      <c r="D451" t="s">
        <v>12</v>
      </c>
      <c r="E451" t="s">
        <v>61</v>
      </c>
      <c r="F451" s="1">
        <v>44990</v>
      </c>
      <c r="G451" s="1">
        <v>45118</v>
      </c>
      <c r="H451">
        <f t="shared" si="107"/>
        <v>128</v>
      </c>
      <c r="J451">
        <v>31.5</v>
      </c>
      <c r="K451">
        <v>123</v>
      </c>
      <c r="L451">
        <v>2</v>
      </c>
      <c r="O451" s="2">
        <v>30.2</v>
      </c>
      <c r="P451" s="3">
        <v>1.1254</v>
      </c>
      <c r="Q451" s="4">
        <v>0.55416666666666703</v>
      </c>
      <c r="R451" s="4">
        <v>0.81666666666666676</v>
      </c>
      <c r="S451" s="2"/>
      <c r="T451" s="13"/>
      <c r="V451" s="10"/>
      <c r="W451" s="2" t="str">
        <f t="shared" si="104"/>
        <v>6:18:00</v>
      </c>
      <c r="Y451" s="12"/>
      <c r="AA451" s="10">
        <v>37.200000000000003</v>
      </c>
      <c r="AB451" s="10" t="s">
        <v>91</v>
      </c>
    </row>
    <row r="452" spans="1:28" ht="15" customHeight="1" x14ac:dyDescent="0.25">
      <c r="A452">
        <v>110</v>
      </c>
      <c r="B452" t="s">
        <v>66</v>
      </c>
      <c r="C452" t="s">
        <v>67</v>
      </c>
      <c r="D452" t="s">
        <v>12</v>
      </c>
      <c r="E452" t="s">
        <v>61</v>
      </c>
      <c r="F452" s="1">
        <v>44992</v>
      </c>
      <c r="G452" s="1">
        <v>45119</v>
      </c>
      <c r="H452">
        <f t="shared" si="107"/>
        <v>127</v>
      </c>
      <c r="I452" t="s">
        <v>36</v>
      </c>
      <c r="J452">
        <v>31.5</v>
      </c>
      <c r="K452">
        <v>325</v>
      </c>
      <c r="L452">
        <v>2</v>
      </c>
      <c r="M452">
        <v>2</v>
      </c>
      <c r="N452">
        <v>1</v>
      </c>
      <c r="O452" s="2">
        <v>30.43</v>
      </c>
      <c r="P452" s="3">
        <v>1.2479</v>
      </c>
      <c r="Q452" s="4">
        <v>0.50962962962962999</v>
      </c>
      <c r="R452" s="4">
        <v>0.7680555555555556</v>
      </c>
      <c r="T452" s="13"/>
      <c r="U452" s="10">
        <v>37.261000000000003</v>
      </c>
      <c r="V452" s="2"/>
      <c r="W452" s="2" t="str">
        <f t="shared" si="104"/>
        <v>6:12:08</v>
      </c>
      <c r="X452" s="10">
        <v>5.6599999999999998E-2</v>
      </c>
      <c r="Y452" s="12">
        <f t="shared" ref="Y452:Y466" si="108">U452-X452</f>
        <v>37.2044</v>
      </c>
      <c r="AA452" s="10">
        <f t="shared" ref="AA452:AA466" si="109">AVERAGE(Y452,T452)</f>
        <v>37.2044</v>
      </c>
      <c r="AB452" s="10" t="s">
        <v>90</v>
      </c>
    </row>
    <row r="453" spans="1:28" ht="15" customHeight="1" x14ac:dyDescent="0.25">
      <c r="A453">
        <v>110</v>
      </c>
      <c r="B453" t="s">
        <v>66</v>
      </c>
      <c r="C453" t="s">
        <v>67</v>
      </c>
      <c r="D453" t="s">
        <v>12</v>
      </c>
      <c r="E453" t="s">
        <v>61</v>
      </c>
      <c r="F453" s="1">
        <v>44992</v>
      </c>
      <c r="G453" s="1">
        <v>45119</v>
      </c>
      <c r="H453">
        <f t="shared" si="107"/>
        <v>127</v>
      </c>
      <c r="I453" t="s">
        <v>36</v>
      </c>
      <c r="J453">
        <v>31.5</v>
      </c>
      <c r="K453">
        <v>325</v>
      </c>
      <c r="L453">
        <v>2</v>
      </c>
      <c r="M453">
        <v>2</v>
      </c>
      <c r="N453">
        <v>2</v>
      </c>
      <c r="O453" s="2">
        <v>32.799999999999997</v>
      </c>
      <c r="P453" s="3">
        <v>1.6990000000000001</v>
      </c>
      <c r="Q453" s="4">
        <v>0.50962962962962999</v>
      </c>
      <c r="R453" s="4">
        <v>0.76874999999999993</v>
      </c>
      <c r="T453" s="13"/>
      <c r="U453" s="10">
        <v>37.261000000000003</v>
      </c>
      <c r="V453" s="2"/>
      <c r="W453" s="2" t="str">
        <f t="shared" si="104"/>
        <v>6:13:08</v>
      </c>
      <c r="X453" s="10">
        <v>5.6599999999999998E-2</v>
      </c>
      <c r="Y453" s="12">
        <f t="shared" si="108"/>
        <v>37.2044</v>
      </c>
      <c r="AA453" s="10">
        <f t="shared" si="109"/>
        <v>37.2044</v>
      </c>
      <c r="AB453" s="10" t="s">
        <v>90</v>
      </c>
    </row>
    <row r="454" spans="1:28" ht="15" customHeight="1" x14ac:dyDescent="0.25">
      <c r="A454">
        <v>120</v>
      </c>
      <c r="B454" t="s">
        <v>68</v>
      </c>
      <c r="C454" t="s">
        <v>69</v>
      </c>
      <c r="D454" t="s">
        <v>12</v>
      </c>
      <c r="E454" t="s">
        <v>61</v>
      </c>
      <c r="F454" s="1">
        <v>45006</v>
      </c>
      <c r="G454" s="1">
        <v>45120</v>
      </c>
      <c r="H454">
        <f t="shared" si="107"/>
        <v>114</v>
      </c>
      <c r="I454" t="s">
        <v>37</v>
      </c>
      <c r="J454">
        <v>30</v>
      </c>
      <c r="K454">
        <v>154</v>
      </c>
      <c r="L454">
        <v>1</v>
      </c>
      <c r="M454">
        <v>5</v>
      </c>
      <c r="N454">
        <v>1</v>
      </c>
      <c r="O454" s="2">
        <v>30.59</v>
      </c>
      <c r="P454" s="3">
        <v>1.1126</v>
      </c>
      <c r="Q454" s="4">
        <v>0.493229166666667</v>
      </c>
      <c r="R454" s="4">
        <v>0.75416666666666676</v>
      </c>
      <c r="T454" s="13">
        <v>37.200000000000003</v>
      </c>
      <c r="U454" s="10">
        <v>37.261000000000003</v>
      </c>
      <c r="V454" s="2">
        <f>U454-T454</f>
        <v>6.0999999999999943E-2</v>
      </c>
      <c r="W454" s="2" t="str">
        <f t="shared" si="104"/>
        <v>6:15:45</v>
      </c>
      <c r="X454" s="10">
        <v>6.0000000000000001E-3</v>
      </c>
      <c r="Y454" s="12">
        <f t="shared" si="108"/>
        <v>37.255000000000003</v>
      </c>
      <c r="Z454" s="10">
        <f>Y454-T454</f>
        <v>5.4999999999999716E-2</v>
      </c>
      <c r="AA454" s="10">
        <f t="shared" si="109"/>
        <v>37.227500000000006</v>
      </c>
      <c r="AB454" s="10" t="s">
        <v>90</v>
      </c>
    </row>
    <row r="455" spans="1:28" ht="15" customHeight="1" x14ac:dyDescent="0.25">
      <c r="A455">
        <v>110</v>
      </c>
      <c r="B455" t="s">
        <v>66</v>
      </c>
      <c r="C455" t="s">
        <v>67</v>
      </c>
      <c r="D455" t="s">
        <v>12</v>
      </c>
      <c r="E455" t="s">
        <v>61</v>
      </c>
      <c r="F455" s="1">
        <v>44992</v>
      </c>
      <c r="G455" s="1">
        <v>45119</v>
      </c>
      <c r="H455">
        <f t="shared" si="107"/>
        <v>127</v>
      </c>
      <c r="I455" t="s">
        <v>37</v>
      </c>
      <c r="J455">
        <v>30</v>
      </c>
      <c r="K455">
        <v>151</v>
      </c>
      <c r="L455">
        <v>2</v>
      </c>
      <c r="M455">
        <v>2</v>
      </c>
      <c r="N455">
        <v>5</v>
      </c>
      <c r="O455" s="2">
        <v>27.3</v>
      </c>
      <c r="P455" s="3">
        <v>0.82340000000000002</v>
      </c>
      <c r="Q455" s="4">
        <v>0.50962962962962999</v>
      </c>
      <c r="R455" s="4">
        <v>0.77013888888888893</v>
      </c>
      <c r="T455" s="13"/>
      <c r="U455" s="10">
        <v>37.287999999999997</v>
      </c>
      <c r="V455" s="2"/>
      <c r="W455" s="2" t="str">
        <f t="shared" si="104"/>
        <v>6:15:08</v>
      </c>
      <c r="X455" s="10">
        <v>5.6599999999999998E-2</v>
      </c>
      <c r="Y455" s="12">
        <f t="shared" si="108"/>
        <v>37.231399999999994</v>
      </c>
      <c r="AA455" s="10">
        <f t="shared" si="109"/>
        <v>37.231399999999994</v>
      </c>
      <c r="AB455" s="10" t="s">
        <v>90</v>
      </c>
    </row>
    <row r="456" spans="1:28" ht="15" customHeight="1" x14ac:dyDescent="0.25">
      <c r="A456">
        <v>110</v>
      </c>
      <c r="B456" t="s">
        <v>66</v>
      </c>
      <c r="C456" t="s">
        <v>67</v>
      </c>
      <c r="D456" t="s">
        <v>12</v>
      </c>
      <c r="E456" t="s">
        <v>61</v>
      </c>
      <c r="F456" s="1">
        <v>44992</v>
      </c>
      <c r="G456" s="1">
        <v>45119</v>
      </c>
      <c r="H456">
        <f t="shared" si="107"/>
        <v>127</v>
      </c>
      <c r="I456" t="s">
        <v>37</v>
      </c>
      <c r="J456">
        <v>30</v>
      </c>
      <c r="K456">
        <v>151</v>
      </c>
      <c r="L456">
        <v>2</v>
      </c>
      <c r="M456">
        <v>2</v>
      </c>
      <c r="N456">
        <v>4</v>
      </c>
      <c r="O456" s="2">
        <v>33.24</v>
      </c>
      <c r="P456" s="3">
        <v>1.6597999999999999</v>
      </c>
      <c r="Q456" s="4">
        <v>0.50962962962962999</v>
      </c>
      <c r="R456" s="4">
        <v>0.77013888888888893</v>
      </c>
      <c r="T456" s="13"/>
      <c r="U456" s="10">
        <v>37.287999999999997</v>
      </c>
      <c r="V456" s="2"/>
      <c r="W456" s="2" t="str">
        <f t="shared" si="104"/>
        <v>6:15:08</v>
      </c>
      <c r="X456" s="10">
        <v>5.6599999999999998E-2</v>
      </c>
      <c r="Y456" s="12">
        <f t="shared" si="108"/>
        <v>37.231399999999994</v>
      </c>
      <c r="AA456" s="10">
        <f t="shared" si="109"/>
        <v>37.231399999999994</v>
      </c>
      <c r="AB456" s="10" t="s">
        <v>90</v>
      </c>
    </row>
    <row r="457" spans="1:28" ht="15" customHeight="1" x14ac:dyDescent="0.25">
      <c r="A457">
        <v>110</v>
      </c>
      <c r="B457" t="s">
        <v>66</v>
      </c>
      <c r="C457" t="s">
        <v>67</v>
      </c>
      <c r="D457" t="s">
        <v>12</v>
      </c>
      <c r="E457" t="s">
        <v>61</v>
      </c>
      <c r="F457" s="1">
        <v>44992</v>
      </c>
      <c r="G457" s="1">
        <v>45120</v>
      </c>
      <c r="H457">
        <f t="shared" si="107"/>
        <v>128</v>
      </c>
      <c r="I457" t="s">
        <v>38</v>
      </c>
      <c r="J457">
        <v>31.5</v>
      </c>
      <c r="K457">
        <v>360</v>
      </c>
      <c r="L457">
        <v>1</v>
      </c>
      <c r="M457">
        <v>2</v>
      </c>
      <c r="N457">
        <v>4</v>
      </c>
      <c r="O457" s="2">
        <v>32.869999999999997</v>
      </c>
      <c r="P457" s="3">
        <v>1.5385</v>
      </c>
      <c r="Q457" s="4">
        <v>0.493229166666667</v>
      </c>
      <c r="R457" s="4">
        <v>0.75138888888888899</v>
      </c>
      <c r="T457" s="13">
        <v>37.299999999999997</v>
      </c>
      <c r="U457" s="10">
        <v>37.261000000000003</v>
      </c>
      <c r="V457" s="2">
        <f t="shared" ref="V457:V466" si="110">U457-T457</f>
        <v>-3.8999999999994373E-2</v>
      </c>
      <c r="W457" s="2" t="str">
        <f t="shared" si="104"/>
        <v>6:11:45</v>
      </c>
      <c r="X457" s="10">
        <v>0</v>
      </c>
      <c r="Y457" s="12">
        <f t="shared" si="108"/>
        <v>37.261000000000003</v>
      </c>
      <c r="Z457" s="10">
        <f t="shared" ref="Z457:Z466" si="111">Y457-T457</f>
        <v>-3.8999999999994373E-2</v>
      </c>
      <c r="AA457" s="10">
        <f t="shared" si="109"/>
        <v>37.280500000000004</v>
      </c>
      <c r="AB457" s="10" t="s">
        <v>90</v>
      </c>
    </row>
    <row r="458" spans="1:28" ht="15" customHeight="1" x14ac:dyDescent="0.25">
      <c r="A458">
        <v>120</v>
      </c>
      <c r="B458" t="s">
        <v>68</v>
      </c>
      <c r="C458" t="s">
        <v>69</v>
      </c>
      <c r="D458" t="s">
        <v>12</v>
      </c>
      <c r="E458" t="s">
        <v>61</v>
      </c>
      <c r="F458" s="1">
        <v>45006</v>
      </c>
      <c r="G458" s="1">
        <v>45120</v>
      </c>
      <c r="H458">
        <f t="shared" si="107"/>
        <v>114</v>
      </c>
      <c r="I458" t="s">
        <v>37</v>
      </c>
      <c r="J458">
        <v>30</v>
      </c>
      <c r="K458">
        <v>154</v>
      </c>
      <c r="L458">
        <v>1</v>
      </c>
      <c r="M458">
        <v>5</v>
      </c>
      <c r="N458">
        <v>3</v>
      </c>
      <c r="O458" s="2">
        <v>30.7</v>
      </c>
      <c r="P458" s="3">
        <v>1.2019</v>
      </c>
      <c r="Q458" s="4">
        <v>0.493229166666667</v>
      </c>
      <c r="R458" s="4">
        <v>0.75624999999999998</v>
      </c>
      <c r="T458" s="13">
        <v>37.299999999999997</v>
      </c>
      <c r="U458" s="10">
        <v>37.314999999999998</v>
      </c>
      <c r="V458" s="2">
        <f t="shared" si="110"/>
        <v>1.5000000000000568E-2</v>
      </c>
      <c r="W458" s="2" t="str">
        <f t="shared" si="104"/>
        <v>6:18:45</v>
      </c>
      <c r="X458" s="10">
        <v>6.0000000000000001E-3</v>
      </c>
      <c r="Y458" s="12">
        <f t="shared" si="108"/>
        <v>37.308999999999997</v>
      </c>
      <c r="Z458" s="10">
        <f t="shared" si="111"/>
        <v>9.0000000000003411E-3</v>
      </c>
      <c r="AA458" s="10">
        <f t="shared" si="109"/>
        <v>37.304499999999997</v>
      </c>
      <c r="AB458" s="10" t="s">
        <v>90</v>
      </c>
    </row>
    <row r="459" spans="1:28" ht="15" customHeight="1" x14ac:dyDescent="0.25">
      <c r="A459">
        <v>120</v>
      </c>
      <c r="B459" t="s">
        <v>68</v>
      </c>
      <c r="C459" t="s">
        <v>69</v>
      </c>
      <c r="D459" t="s">
        <v>12</v>
      </c>
      <c r="E459" t="s">
        <v>61</v>
      </c>
      <c r="F459" s="1">
        <v>45006</v>
      </c>
      <c r="G459" s="1">
        <v>45120</v>
      </c>
      <c r="H459">
        <f t="shared" si="107"/>
        <v>114</v>
      </c>
      <c r="I459" t="s">
        <v>37</v>
      </c>
      <c r="J459">
        <v>30</v>
      </c>
      <c r="K459">
        <v>154</v>
      </c>
      <c r="L459">
        <v>1</v>
      </c>
      <c r="M459">
        <v>5</v>
      </c>
      <c r="N459">
        <v>4</v>
      </c>
      <c r="O459" s="2">
        <v>34.22</v>
      </c>
      <c r="P459" s="3">
        <v>1.5605</v>
      </c>
      <c r="Q459" s="4">
        <v>0.493229166666667</v>
      </c>
      <c r="R459" s="4">
        <v>0.75624999999999998</v>
      </c>
      <c r="T459" s="13">
        <v>37.299999999999997</v>
      </c>
      <c r="U459" s="10">
        <v>37.314999999999998</v>
      </c>
      <c r="V459" s="2">
        <f t="shared" si="110"/>
        <v>1.5000000000000568E-2</v>
      </c>
      <c r="W459" s="2" t="str">
        <f t="shared" si="104"/>
        <v>6:18:45</v>
      </c>
      <c r="X459" s="10">
        <v>6.0000000000000001E-3</v>
      </c>
      <c r="Y459" s="12">
        <f t="shared" si="108"/>
        <v>37.308999999999997</v>
      </c>
      <c r="Z459" s="10">
        <f t="shared" si="111"/>
        <v>9.0000000000003411E-3</v>
      </c>
      <c r="AA459" s="10">
        <f t="shared" si="109"/>
        <v>37.304499999999997</v>
      </c>
      <c r="AB459" s="10" t="s">
        <v>90</v>
      </c>
    </row>
    <row r="460" spans="1:28" ht="15" customHeight="1" x14ac:dyDescent="0.25">
      <c r="A460">
        <v>120</v>
      </c>
      <c r="B460" t="s">
        <v>68</v>
      </c>
      <c r="C460" t="s">
        <v>69</v>
      </c>
      <c r="D460" t="s">
        <v>12</v>
      </c>
      <c r="E460" t="s">
        <v>61</v>
      </c>
      <c r="F460" s="1">
        <v>45006</v>
      </c>
      <c r="G460" s="1">
        <v>45120</v>
      </c>
      <c r="H460">
        <f t="shared" si="107"/>
        <v>114</v>
      </c>
      <c r="I460" t="s">
        <v>37</v>
      </c>
      <c r="J460">
        <v>30</v>
      </c>
      <c r="K460">
        <v>154</v>
      </c>
      <c r="L460">
        <v>1</v>
      </c>
      <c r="M460">
        <v>5</v>
      </c>
      <c r="N460">
        <v>2</v>
      </c>
      <c r="O460" s="2">
        <v>34.08</v>
      </c>
      <c r="P460" s="3">
        <v>1.6204000000000001</v>
      </c>
      <c r="Q460" s="4">
        <v>0.493229166666667</v>
      </c>
      <c r="R460" s="4">
        <v>0.75624999999999998</v>
      </c>
      <c r="T460" s="13">
        <v>37.299999999999997</v>
      </c>
      <c r="U460" s="10">
        <v>37.314999999999998</v>
      </c>
      <c r="V460" s="2">
        <f t="shared" si="110"/>
        <v>1.5000000000000568E-2</v>
      </c>
      <c r="W460" s="2" t="str">
        <f t="shared" si="104"/>
        <v>6:18:45</v>
      </c>
      <c r="X460" s="10">
        <v>6.0000000000000001E-3</v>
      </c>
      <c r="Y460" s="12">
        <f t="shared" si="108"/>
        <v>37.308999999999997</v>
      </c>
      <c r="Z460" s="10">
        <f t="shared" si="111"/>
        <v>9.0000000000003411E-3</v>
      </c>
      <c r="AA460" s="10">
        <f t="shared" si="109"/>
        <v>37.304499999999997</v>
      </c>
      <c r="AB460" s="10" t="s">
        <v>90</v>
      </c>
    </row>
    <row r="461" spans="1:28" ht="15" customHeight="1" x14ac:dyDescent="0.25">
      <c r="A461">
        <v>110</v>
      </c>
      <c r="B461" t="s">
        <v>66</v>
      </c>
      <c r="C461" t="s">
        <v>67</v>
      </c>
      <c r="D461" t="s">
        <v>12</v>
      </c>
      <c r="E461" t="s">
        <v>61</v>
      </c>
      <c r="F461" s="1">
        <v>44992</v>
      </c>
      <c r="G461" s="1">
        <v>45119</v>
      </c>
      <c r="H461">
        <f t="shared" si="107"/>
        <v>127</v>
      </c>
      <c r="I461" t="s">
        <v>36</v>
      </c>
      <c r="J461">
        <v>31.5</v>
      </c>
      <c r="K461">
        <v>325</v>
      </c>
      <c r="L461">
        <v>2</v>
      </c>
      <c r="M461">
        <v>2</v>
      </c>
      <c r="N461">
        <v>4</v>
      </c>
      <c r="O461" s="2">
        <v>33.06</v>
      </c>
      <c r="P461" s="3">
        <v>1.5984</v>
      </c>
      <c r="Q461" s="4">
        <v>0.50962962962962999</v>
      </c>
      <c r="R461" s="4">
        <v>0.77222222222222225</v>
      </c>
      <c r="T461" s="13">
        <v>37.299999999999997</v>
      </c>
      <c r="U461" s="10">
        <v>37.369999999999997</v>
      </c>
      <c r="V461" s="2">
        <f t="shared" si="110"/>
        <v>7.0000000000000284E-2</v>
      </c>
      <c r="W461" s="2" t="str">
        <f t="shared" si="104"/>
        <v>6:18:08</v>
      </c>
      <c r="X461" s="10">
        <v>5.6599999999999998E-2</v>
      </c>
      <c r="Y461" s="12">
        <f t="shared" si="108"/>
        <v>37.313399999999994</v>
      </c>
      <c r="Z461" s="10">
        <f t="shared" si="111"/>
        <v>1.3399999999997192E-2</v>
      </c>
      <c r="AA461" s="10">
        <f t="shared" si="109"/>
        <v>37.306699999999992</v>
      </c>
      <c r="AB461" s="10" t="s">
        <v>90</v>
      </c>
    </row>
    <row r="462" spans="1:28" ht="15" customHeight="1" x14ac:dyDescent="0.25">
      <c r="A462">
        <v>110</v>
      </c>
      <c r="B462" t="s">
        <v>66</v>
      </c>
      <c r="C462" t="s">
        <v>67</v>
      </c>
      <c r="D462" t="s">
        <v>12</v>
      </c>
      <c r="E462" t="s">
        <v>61</v>
      </c>
      <c r="F462" s="1">
        <v>44992</v>
      </c>
      <c r="G462" s="1">
        <v>45119</v>
      </c>
      <c r="H462">
        <f t="shared" si="107"/>
        <v>127</v>
      </c>
      <c r="I462" t="s">
        <v>36</v>
      </c>
      <c r="J462">
        <v>31.5</v>
      </c>
      <c r="K462">
        <v>325</v>
      </c>
      <c r="L462">
        <v>2</v>
      </c>
      <c r="M462">
        <v>2</v>
      </c>
      <c r="N462">
        <v>5</v>
      </c>
      <c r="O462" s="2">
        <v>34.44</v>
      </c>
      <c r="P462" s="3">
        <v>1.8546</v>
      </c>
      <c r="Q462" s="4">
        <v>0.50962962962962999</v>
      </c>
      <c r="R462" s="4">
        <v>0.77222222222222225</v>
      </c>
      <c r="T462" s="13">
        <v>37.299999999999997</v>
      </c>
      <c r="U462" s="10">
        <v>37.369999999999997</v>
      </c>
      <c r="V462" s="2">
        <f t="shared" si="110"/>
        <v>7.0000000000000284E-2</v>
      </c>
      <c r="W462" s="2" t="str">
        <f t="shared" si="104"/>
        <v>6:18:08</v>
      </c>
      <c r="X462" s="10">
        <v>5.6599999999999998E-2</v>
      </c>
      <c r="Y462" s="12">
        <f t="shared" si="108"/>
        <v>37.313399999999994</v>
      </c>
      <c r="Z462" s="10">
        <f t="shared" si="111"/>
        <v>1.3399999999997192E-2</v>
      </c>
      <c r="AA462" s="10">
        <f t="shared" si="109"/>
        <v>37.306699999999992</v>
      </c>
      <c r="AB462" s="10" t="s">
        <v>90</v>
      </c>
    </row>
    <row r="463" spans="1:28" ht="15" customHeight="1" x14ac:dyDescent="0.25">
      <c r="A463">
        <v>110</v>
      </c>
      <c r="B463" t="s">
        <v>66</v>
      </c>
      <c r="C463" t="s">
        <v>67</v>
      </c>
      <c r="D463" t="s">
        <v>12</v>
      </c>
      <c r="E463" t="s">
        <v>61</v>
      </c>
      <c r="F463" s="1">
        <v>44992</v>
      </c>
      <c r="G463" s="1">
        <v>45120</v>
      </c>
      <c r="H463">
        <f t="shared" si="107"/>
        <v>128</v>
      </c>
      <c r="I463" t="s">
        <v>38</v>
      </c>
      <c r="J463">
        <v>31.5</v>
      </c>
      <c r="K463">
        <v>360</v>
      </c>
      <c r="L463">
        <v>1</v>
      </c>
      <c r="M463">
        <v>2</v>
      </c>
      <c r="N463">
        <v>2</v>
      </c>
      <c r="O463" s="2">
        <v>34.11</v>
      </c>
      <c r="P463" s="3">
        <v>1.5625</v>
      </c>
      <c r="Q463" s="4">
        <v>0.493229166666667</v>
      </c>
      <c r="R463" s="4">
        <v>0.75486111111111109</v>
      </c>
      <c r="T463" s="13">
        <v>37.4</v>
      </c>
      <c r="U463" s="10">
        <v>37.343000000000004</v>
      </c>
      <c r="V463" s="2">
        <f t="shared" si="110"/>
        <v>-5.6999999999995055E-2</v>
      </c>
      <c r="W463" s="2" t="str">
        <f t="shared" si="104"/>
        <v>6:16:45</v>
      </c>
      <c r="X463" s="10">
        <v>0</v>
      </c>
      <c r="Y463" s="12">
        <f t="shared" si="108"/>
        <v>37.343000000000004</v>
      </c>
      <c r="Z463" s="10">
        <f t="shared" si="111"/>
        <v>-5.6999999999995055E-2</v>
      </c>
      <c r="AA463" s="10">
        <f t="shared" si="109"/>
        <v>37.371499999999997</v>
      </c>
      <c r="AB463" s="10" t="s">
        <v>90</v>
      </c>
    </row>
    <row r="464" spans="1:28" ht="15" customHeight="1" x14ac:dyDescent="0.25">
      <c r="A464">
        <v>120</v>
      </c>
      <c r="B464" t="s">
        <v>68</v>
      </c>
      <c r="C464" t="s">
        <v>69</v>
      </c>
      <c r="D464" t="s">
        <v>12</v>
      </c>
      <c r="E464" t="s">
        <v>61</v>
      </c>
      <c r="F464" s="1">
        <v>45006</v>
      </c>
      <c r="G464" s="1">
        <v>45120</v>
      </c>
      <c r="H464">
        <f t="shared" si="107"/>
        <v>114</v>
      </c>
      <c r="I464" t="s">
        <v>36</v>
      </c>
      <c r="J464">
        <v>28.5</v>
      </c>
      <c r="K464">
        <v>140</v>
      </c>
      <c r="L464">
        <v>2</v>
      </c>
      <c r="M464">
        <v>5</v>
      </c>
      <c r="N464">
        <v>5</v>
      </c>
      <c r="O464" s="2">
        <v>35.64</v>
      </c>
      <c r="P464" s="3">
        <v>1.7131000000000001</v>
      </c>
      <c r="Q464" s="4">
        <v>0.493229166666667</v>
      </c>
      <c r="R464" s="4">
        <v>0.7583333333333333</v>
      </c>
      <c r="T464" s="13">
        <v>37.4</v>
      </c>
      <c r="U464" s="10">
        <v>37.369999999999997</v>
      </c>
      <c r="V464" s="2">
        <f t="shared" si="110"/>
        <v>-3.0000000000001137E-2</v>
      </c>
      <c r="W464" s="2" t="str">
        <f t="shared" si="104"/>
        <v>6:21:45</v>
      </c>
      <c r="X464" s="10">
        <v>6.0000000000000001E-3</v>
      </c>
      <c r="Y464" s="12">
        <f t="shared" si="108"/>
        <v>37.363999999999997</v>
      </c>
      <c r="Z464" s="10">
        <f t="shared" si="111"/>
        <v>-3.6000000000001364E-2</v>
      </c>
      <c r="AA464" s="10">
        <f t="shared" si="109"/>
        <v>37.381999999999998</v>
      </c>
      <c r="AB464" s="10" t="s">
        <v>90</v>
      </c>
    </row>
    <row r="465" spans="1:28" ht="15" customHeight="1" x14ac:dyDescent="0.25">
      <c r="A465">
        <v>120</v>
      </c>
      <c r="B465" t="s">
        <v>68</v>
      </c>
      <c r="C465" t="s">
        <v>69</v>
      </c>
      <c r="D465" t="s">
        <v>12</v>
      </c>
      <c r="E465" t="s">
        <v>61</v>
      </c>
      <c r="F465" s="1">
        <v>45006</v>
      </c>
      <c r="G465" s="1">
        <v>45120</v>
      </c>
      <c r="H465">
        <f t="shared" si="107"/>
        <v>114</v>
      </c>
      <c r="I465" t="s">
        <v>38</v>
      </c>
      <c r="J465">
        <v>31.5</v>
      </c>
      <c r="K465">
        <v>326</v>
      </c>
      <c r="L465">
        <v>2</v>
      </c>
      <c r="M465">
        <v>5</v>
      </c>
      <c r="N465">
        <v>5</v>
      </c>
      <c r="O465" s="2">
        <v>32.67</v>
      </c>
      <c r="P465" s="3">
        <v>1.4432</v>
      </c>
      <c r="Q465" s="4">
        <v>0.493229166666667</v>
      </c>
      <c r="R465" s="4">
        <v>0.75902777777777775</v>
      </c>
      <c r="T465" s="13">
        <v>37.4</v>
      </c>
      <c r="U465" s="10">
        <v>37.398000000000003</v>
      </c>
      <c r="V465" s="2">
        <f t="shared" si="110"/>
        <v>-1.9999999999953388E-3</v>
      </c>
      <c r="W465" s="2" t="str">
        <f t="shared" si="104"/>
        <v>6:22:45</v>
      </c>
      <c r="X465" s="10">
        <v>6.0000000000000001E-3</v>
      </c>
      <c r="Y465" s="12">
        <f t="shared" si="108"/>
        <v>37.392000000000003</v>
      </c>
      <c r="Z465" s="10">
        <f t="shared" si="111"/>
        <v>-7.9999999999955662E-3</v>
      </c>
      <c r="AA465" s="10">
        <f t="shared" si="109"/>
        <v>37.396000000000001</v>
      </c>
      <c r="AB465" s="10" t="s">
        <v>90</v>
      </c>
    </row>
    <row r="466" spans="1:28" ht="15" customHeight="1" x14ac:dyDescent="0.25">
      <c r="A466">
        <v>107</v>
      </c>
      <c r="B466" t="s">
        <v>59</v>
      </c>
      <c r="C466" t="s">
        <v>60</v>
      </c>
      <c r="D466" t="s">
        <v>12</v>
      </c>
      <c r="E466" t="s">
        <v>61</v>
      </c>
      <c r="F466" s="1">
        <v>44990</v>
      </c>
      <c r="G466" s="1">
        <v>45120</v>
      </c>
      <c r="H466">
        <f t="shared" si="107"/>
        <v>130</v>
      </c>
      <c r="I466" t="s">
        <v>38</v>
      </c>
      <c r="J466">
        <v>31.5</v>
      </c>
      <c r="K466">
        <v>159</v>
      </c>
      <c r="L466">
        <v>1</v>
      </c>
      <c r="M466">
        <v>6</v>
      </c>
      <c r="N466">
        <v>3</v>
      </c>
      <c r="O466" s="2">
        <v>37.4</v>
      </c>
      <c r="P466" s="3">
        <v>2.319</v>
      </c>
      <c r="Q466" s="4">
        <v>0.493229166666667</v>
      </c>
      <c r="R466" s="4">
        <v>0.76111111111111107</v>
      </c>
      <c r="T466" s="13">
        <v>37.5</v>
      </c>
      <c r="U466" s="10">
        <v>37.369999999999997</v>
      </c>
      <c r="V466" s="2">
        <f t="shared" si="110"/>
        <v>-0.13000000000000256</v>
      </c>
      <c r="W466" s="2" t="str">
        <f t="shared" si="104"/>
        <v>6:25:45</v>
      </c>
      <c r="X466" s="10">
        <v>5.5E-2</v>
      </c>
      <c r="Y466" s="12">
        <f t="shared" si="108"/>
        <v>37.314999999999998</v>
      </c>
      <c r="Z466" s="11">
        <f t="shared" si="111"/>
        <v>-0.18500000000000227</v>
      </c>
      <c r="AA466" s="10">
        <f t="shared" si="109"/>
        <v>37.407499999999999</v>
      </c>
      <c r="AB466" s="10" t="s">
        <v>90</v>
      </c>
    </row>
    <row r="467" spans="1:28" ht="15" customHeight="1" x14ac:dyDescent="0.25">
      <c r="A467">
        <v>120</v>
      </c>
      <c r="B467" t="s">
        <v>68</v>
      </c>
      <c r="C467" t="s">
        <v>69</v>
      </c>
      <c r="D467" t="s">
        <v>12</v>
      </c>
      <c r="E467" t="s">
        <v>61</v>
      </c>
      <c r="F467" s="1">
        <v>45006</v>
      </c>
      <c r="G467" s="1">
        <v>45118</v>
      </c>
      <c r="H467">
        <f t="shared" si="107"/>
        <v>112</v>
      </c>
      <c r="J467">
        <v>30</v>
      </c>
      <c r="K467">
        <v>154</v>
      </c>
      <c r="L467">
        <v>1</v>
      </c>
      <c r="O467" s="2">
        <v>31.25</v>
      </c>
      <c r="P467" s="3">
        <v>1.0558000000000001</v>
      </c>
      <c r="Q467" s="4">
        <v>0.55416666666666703</v>
      </c>
      <c r="S467" s="2"/>
      <c r="T467" s="13"/>
      <c r="V467" s="10"/>
      <c r="W467" s="2"/>
      <c r="Y467" s="12"/>
      <c r="AB467" s="10" t="s">
        <v>91</v>
      </c>
    </row>
    <row r="468" spans="1:28" ht="15" customHeight="1" x14ac:dyDescent="0.25">
      <c r="A468">
        <v>87</v>
      </c>
      <c r="B468" t="s">
        <v>39</v>
      </c>
      <c r="C468" t="s">
        <v>40</v>
      </c>
      <c r="D468" t="s">
        <v>12</v>
      </c>
      <c r="E468" t="s">
        <v>6</v>
      </c>
      <c r="F468" s="1">
        <v>44973</v>
      </c>
      <c r="G468" s="1">
        <v>45093</v>
      </c>
      <c r="H468">
        <f t="shared" si="107"/>
        <v>120</v>
      </c>
      <c r="J468">
        <v>28.5</v>
      </c>
      <c r="K468">
        <v>340</v>
      </c>
      <c r="L468">
        <v>2</v>
      </c>
      <c r="O468" s="2">
        <v>35.11</v>
      </c>
      <c r="P468" s="3">
        <v>1.5542</v>
      </c>
      <c r="Q468" s="4">
        <v>0.5</v>
      </c>
      <c r="R468" s="4">
        <v>0.74930555555555556</v>
      </c>
      <c r="S468" s="2"/>
      <c r="T468" s="13"/>
      <c r="V468" s="10"/>
      <c r="W468" s="2" t="str">
        <f t="shared" ref="W468:W499" si="112">TEXT(R468-Q468,"h:mm:ss")</f>
        <v>5:59:00</v>
      </c>
      <c r="Y468" s="12"/>
      <c r="AA468" s="10">
        <v>36.9</v>
      </c>
      <c r="AB468" s="10" t="s">
        <v>91</v>
      </c>
    </row>
    <row r="469" spans="1:28" ht="15" customHeight="1" x14ac:dyDescent="0.25">
      <c r="A469">
        <v>87</v>
      </c>
      <c r="B469" t="s">
        <v>39</v>
      </c>
      <c r="C469" t="s">
        <v>40</v>
      </c>
      <c r="D469" t="s">
        <v>12</v>
      </c>
      <c r="E469" t="s">
        <v>6</v>
      </c>
      <c r="F469" s="1">
        <v>44973</v>
      </c>
      <c r="G469" s="1">
        <v>45083</v>
      </c>
      <c r="H469">
        <f t="shared" si="107"/>
        <v>110</v>
      </c>
      <c r="I469" t="s">
        <v>36</v>
      </c>
      <c r="J469">
        <v>28.5</v>
      </c>
      <c r="K469">
        <v>340</v>
      </c>
      <c r="L469">
        <v>2</v>
      </c>
      <c r="M469">
        <v>6</v>
      </c>
      <c r="N469">
        <v>2</v>
      </c>
      <c r="O469" s="2">
        <v>27.3</v>
      </c>
      <c r="P469" s="3">
        <v>0.80879999999999996</v>
      </c>
      <c r="Q469" s="4">
        <v>0.44003472222222201</v>
      </c>
      <c r="R469" s="4">
        <v>0.71180555555555547</v>
      </c>
      <c r="S469" s="2"/>
      <c r="T469" s="13"/>
      <c r="U469" s="10">
        <v>36.987000000000002</v>
      </c>
      <c r="V469" s="2"/>
      <c r="W469" s="2" t="str">
        <f t="shared" si="112"/>
        <v>6:31:21</v>
      </c>
      <c r="X469" s="10">
        <v>7.3099999999999997E-3</v>
      </c>
      <c r="Y469" s="12">
        <f t="shared" ref="Y469:Y479" si="113">U469-X469</f>
        <v>36.979690000000005</v>
      </c>
      <c r="AA469" s="10">
        <f t="shared" ref="AA469:AA479" si="114">AVERAGE(Y469,T469)</f>
        <v>36.979690000000005</v>
      </c>
      <c r="AB469" s="10" t="s">
        <v>90</v>
      </c>
    </row>
    <row r="470" spans="1:28" ht="15" customHeight="1" x14ac:dyDescent="0.25">
      <c r="A470">
        <v>87</v>
      </c>
      <c r="B470" t="s">
        <v>39</v>
      </c>
      <c r="C470" t="s">
        <v>40</v>
      </c>
      <c r="D470" t="s">
        <v>12</v>
      </c>
      <c r="E470" t="s">
        <v>6</v>
      </c>
      <c r="F470" s="1">
        <v>44973</v>
      </c>
      <c r="G470" s="1">
        <v>45083</v>
      </c>
      <c r="H470">
        <f t="shared" si="107"/>
        <v>110</v>
      </c>
      <c r="I470" t="s">
        <v>36</v>
      </c>
      <c r="J470">
        <v>28.5</v>
      </c>
      <c r="K470">
        <v>340</v>
      </c>
      <c r="L470">
        <v>2</v>
      </c>
      <c r="M470">
        <v>6</v>
      </c>
      <c r="N470">
        <v>3</v>
      </c>
      <c r="O470" s="2">
        <v>30.03</v>
      </c>
      <c r="P470" s="3">
        <v>1.0628</v>
      </c>
      <c r="Q470" s="4">
        <v>0.44003472222222201</v>
      </c>
      <c r="R470" s="4">
        <v>0.71180555555555547</v>
      </c>
      <c r="S470" s="2"/>
      <c r="T470" s="13"/>
      <c r="U470" s="10">
        <v>36.987000000000002</v>
      </c>
      <c r="V470" s="2"/>
      <c r="W470" s="2" t="str">
        <f t="shared" si="112"/>
        <v>6:31:21</v>
      </c>
      <c r="X470" s="10">
        <v>7.3099999999999997E-3</v>
      </c>
      <c r="Y470" s="12">
        <f t="shared" si="113"/>
        <v>36.979690000000005</v>
      </c>
      <c r="AA470" s="10">
        <f t="shared" si="114"/>
        <v>36.979690000000005</v>
      </c>
      <c r="AB470" s="10" t="s">
        <v>90</v>
      </c>
    </row>
    <row r="471" spans="1:28" ht="15" customHeight="1" x14ac:dyDescent="0.25">
      <c r="A471">
        <v>87</v>
      </c>
      <c r="B471" t="s">
        <v>39</v>
      </c>
      <c r="C471" t="s">
        <v>40</v>
      </c>
      <c r="D471" t="s">
        <v>12</v>
      </c>
      <c r="E471" t="s">
        <v>6</v>
      </c>
      <c r="F471" s="1">
        <v>44973</v>
      </c>
      <c r="G471" s="1">
        <v>45083</v>
      </c>
      <c r="H471">
        <f t="shared" si="107"/>
        <v>110</v>
      </c>
      <c r="I471" t="s">
        <v>36</v>
      </c>
      <c r="J471">
        <v>28.5</v>
      </c>
      <c r="K471">
        <v>340</v>
      </c>
      <c r="L471">
        <v>2</v>
      </c>
      <c r="M471">
        <v>6</v>
      </c>
      <c r="N471">
        <v>4</v>
      </c>
      <c r="O471" s="2">
        <v>31.7</v>
      </c>
      <c r="P471" s="3">
        <v>1.2327999999999999</v>
      </c>
      <c r="Q471" s="4">
        <v>0.44003472222222201</v>
      </c>
      <c r="R471" s="4">
        <v>0.71180555555555547</v>
      </c>
      <c r="S471" s="2"/>
      <c r="T471" s="13"/>
      <c r="U471" s="10">
        <v>36.987000000000002</v>
      </c>
      <c r="V471" s="2"/>
      <c r="W471" s="2" t="str">
        <f t="shared" si="112"/>
        <v>6:31:21</v>
      </c>
      <c r="X471" s="10">
        <v>7.3099999999999997E-3</v>
      </c>
      <c r="Y471" s="12">
        <f t="shared" si="113"/>
        <v>36.979690000000005</v>
      </c>
      <c r="AA471" s="10">
        <f t="shared" si="114"/>
        <v>36.979690000000005</v>
      </c>
      <c r="AB471" s="10" t="s">
        <v>90</v>
      </c>
    </row>
    <row r="472" spans="1:28" ht="15" customHeight="1" x14ac:dyDescent="0.25">
      <c r="A472">
        <v>87</v>
      </c>
      <c r="B472" t="s">
        <v>39</v>
      </c>
      <c r="C472" t="s">
        <v>40</v>
      </c>
      <c r="D472" t="s">
        <v>12</v>
      </c>
      <c r="E472" t="s">
        <v>6</v>
      </c>
      <c r="F472" s="1">
        <v>44973</v>
      </c>
      <c r="G472" s="1">
        <v>45083</v>
      </c>
      <c r="H472">
        <f t="shared" si="107"/>
        <v>110</v>
      </c>
      <c r="I472" t="s">
        <v>36</v>
      </c>
      <c r="J472">
        <v>28.5</v>
      </c>
      <c r="K472">
        <v>340</v>
      </c>
      <c r="L472">
        <v>2</v>
      </c>
      <c r="M472">
        <v>6</v>
      </c>
      <c r="N472">
        <v>1</v>
      </c>
      <c r="O472" s="2">
        <v>33.130000000000003</v>
      </c>
      <c r="P472" s="3">
        <v>1.3884000000000001</v>
      </c>
      <c r="Q472" s="4">
        <v>0.44003472222222201</v>
      </c>
      <c r="R472" s="4">
        <v>0.71180555555555547</v>
      </c>
      <c r="S472" s="2"/>
      <c r="T472" s="13"/>
      <c r="U472" s="10">
        <v>36.987000000000002</v>
      </c>
      <c r="V472" s="2"/>
      <c r="W472" s="2" t="str">
        <f t="shared" si="112"/>
        <v>6:31:21</v>
      </c>
      <c r="X472" s="10">
        <v>7.3099999999999997E-3</v>
      </c>
      <c r="Y472" s="12">
        <f t="shared" si="113"/>
        <v>36.979690000000005</v>
      </c>
      <c r="AA472" s="10">
        <f t="shared" si="114"/>
        <v>36.979690000000005</v>
      </c>
      <c r="AB472" s="10" t="s">
        <v>90</v>
      </c>
    </row>
    <row r="473" spans="1:28" ht="15" customHeight="1" x14ac:dyDescent="0.25">
      <c r="A473">
        <v>87</v>
      </c>
      <c r="B473" t="s">
        <v>39</v>
      </c>
      <c r="C473" t="s">
        <v>40</v>
      </c>
      <c r="D473" t="s">
        <v>12</v>
      </c>
      <c r="E473" t="s">
        <v>6</v>
      </c>
      <c r="F473" s="1">
        <v>44973</v>
      </c>
      <c r="G473" s="1">
        <v>45086</v>
      </c>
      <c r="H473">
        <f t="shared" si="107"/>
        <v>113</v>
      </c>
      <c r="I473" t="s">
        <v>36</v>
      </c>
      <c r="J473">
        <v>28.5</v>
      </c>
      <c r="K473">
        <v>143</v>
      </c>
      <c r="L473">
        <v>1</v>
      </c>
      <c r="M473">
        <v>2</v>
      </c>
      <c r="N473">
        <v>4</v>
      </c>
      <c r="O473" s="2">
        <v>28.52</v>
      </c>
      <c r="P473" s="3">
        <v>0.95099999999999996</v>
      </c>
      <c r="Q473" s="4">
        <v>0.481793981481482</v>
      </c>
      <c r="R473" s="4">
        <v>0.7319444444444444</v>
      </c>
      <c r="S473" s="2">
        <f t="shared" ref="S473:S479" si="115">AVERAGE(T473:U473)</f>
        <v>37.021000000000001</v>
      </c>
      <c r="T473" s="13">
        <v>37</v>
      </c>
      <c r="U473" s="10">
        <v>37.042000000000002</v>
      </c>
      <c r="V473" s="2">
        <f t="shared" ref="V473:V479" si="116">U473-T473</f>
        <v>4.2000000000001592E-2</v>
      </c>
      <c r="W473" s="2" t="str">
        <f t="shared" si="112"/>
        <v>6:00:13</v>
      </c>
      <c r="X473" s="10">
        <v>7.5999999999999998E-2</v>
      </c>
      <c r="Y473" s="12">
        <f t="shared" si="113"/>
        <v>36.966000000000001</v>
      </c>
      <c r="Z473" s="10">
        <f t="shared" ref="Z473:Z479" si="117">Y473-T473</f>
        <v>-3.399999999999892E-2</v>
      </c>
      <c r="AA473" s="10">
        <f t="shared" si="114"/>
        <v>36.983000000000004</v>
      </c>
      <c r="AB473" s="10" t="s">
        <v>90</v>
      </c>
    </row>
    <row r="474" spans="1:28" ht="15" customHeight="1" x14ac:dyDescent="0.25">
      <c r="A474">
        <v>87</v>
      </c>
      <c r="B474" t="s">
        <v>39</v>
      </c>
      <c r="C474" t="s">
        <v>40</v>
      </c>
      <c r="D474" t="s">
        <v>12</v>
      </c>
      <c r="E474" t="s">
        <v>6</v>
      </c>
      <c r="F474" s="1">
        <v>44973</v>
      </c>
      <c r="G474" s="1">
        <v>45086</v>
      </c>
      <c r="H474">
        <f t="shared" si="107"/>
        <v>113</v>
      </c>
      <c r="I474" t="s">
        <v>36</v>
      </c>
      <c r="J474">
        <v>28.5</v>
      </c>
      <c r="K474">
        <v>143</v>
      </c>
      <c r="L474">
        <v>1</v>
      </c>
      <c r="M474">
        <v>2</v>
      </c>
      <c r="N474">
        <v>3</v>
      </c>
      <c r="O474" s="2">
        <v>28.73</v>
      </c>
      <c r="P474" s="3">
        <v>1.0214000000000001</v>
      </c>
      <c r="Q474" s="4">
        <v>0.481793981481482</v>
      </c>
      <c r="R474" s="4">
        <v>0.73125000000000007</v>
      </c>
      <c r="S474" s="2">
        <f t="shared" si="115"/>
        <v>37.021000000000001</v>
      </c>
      <c r="T474" s="13">
        <v>37</v>
      </c>
      <c r="U474" s="10">
        <v>37.042000000000002</v>
      </c>
      <c r="V474" s="2">
        <f t="shared" si="116"/>
        <v>4.2000000000001592E-2</v>
      </c>
      <c r="W474" s="2" t="str">
        <f t="shared" si="112"/>
        <v>5:59:13</v>
      </c>
      <c r="X474" s="10">
        <v>7.5999999999999998E-2</v>
      </c>
      <c r="Y474" s="12">
        <f t="shared" si="113"/>
        <v>36.966000000000001</v>
      </c>
      <c r="Z474" s="10">
        <f t="shared" si="117"/>
        <v>-3.399999999999892E-2</v>
      </c>
      <c r="AA474" s="10">
        <f t="shared" si="114"/>
        <v>36.983000000000004</v>
      </c>
      <c r="AB474" s="10" t="s">
        <v>90</v>
      </c>
    </row>
    <row r="475" spans="1:28" ht="15" customHeight="1" x14ac:dyDescent="0.25">
      <c r="A475">
        <v>87</v>
      </c>
      <c r="B475" t="s">
        <v>39</v>
      </c>
      <c r="C475" t="s">
        <v>40</v>
      </c>
      <c r="D475" t="s">
        <v>12</v>
      </c>
      <c r="E475" t="s">
        <v>6</v>
      </c>
      <c r="F475" s="1">
        <v>44973</v>
      </c>
      <c r="G475" s="1">
        <v>45086</v>
      </c>
      <c r="H475">
        <f t="shared" si="107"/>
        <v>113</v>
      </c>
      <c r="I475" t="s">
        <v>36</v>
      </c>
      <c r="J475">
        <v>28.5</v>
      </c>
      <c r="K475">
        <v>143</v>
      </c>
      <c r="L475">
        <v>1</v>
      </c>
      <c r="M475">
        <v>2</v>
      </c>
      <c r="N475">
        <v>2</v>
      </c>
      <c r="O475" s="2">
        <v>29.89</v>
      </c>
      <c r="P475" s="3">
        <v>1.0515000000000001</v>
      </c>
      <c r="Q475" s="4">
        <v>0.481793981481482</v>
      </c>
      <c r="R475" s="4">
        <v>0.73125000000000007</v>
      </c>
      <c r="S475" s="2">
        <f t="shared" si="115"/>
        <v>37.021000000000001</v>
      </c>
      <c r="T475" s="13">
        <v>37</v>
      </c>
      <c r="U475" s="10">
        <v>37.042000000000002</v>
      </c>
      <c r="V475" s="2">
        <f t="shared" si="116"/>
        <v>4.2000000000001592E-2</v>
      </c>
      <c r="W475" s="2" t="str">
        <f t="shared" si="112"/>
        <v>5:59:13</v>
      </c>
      <c r="X475" s="10">
        <v>7.5999999999999998E-2</v>
      </c>
      <c r="Y475" s="12">
        <f t="shared" si="113"/>
        <v>36.966000000000001</v>
      </c>
      <c r="Z475" s="10">
        <f t="shared" si="117"/>
        <v>-3.399999999999892E-2</v>
      </c>
      <c r="AA475" s="10">
        <f t="shared" si="114"/>
        <v>36.983000000000004</v>
      </c>
      <c r="AB475" s="10" t="s">
        <v>90</v>
      </c>
    </row>
    <row r="476" spans="1:28" ht="15" customHeight="1" x14ac:dyDescent="0.25">
      <c r="A476">
        <v>87</v>
      </c>
      <c r="B476" t="s">
        <v>39</v>
      </c>
      <c r="C476" t="s">
        <v>40</v>
      </c>
      <c r="D476" t="s">
        <v>12</v>
      </c>
      <c r="E476" t="s">
        <v>6</v>
      </c>
      <c r="F476" s="1">
        <v>44973</v>
      </c>
      <c r="G476" s="1">
        <v>45086</v>
      </c>
      <c r="H476">
        <f t="shared" si="107"/>
        <v>113</v>
      </c>
      <c r="I476" t="s">
        <v>37</v>
      </c>
      <c r="J476">
        <v>30</v>
      </c>
      <c r="K476">
        <v>150</v>
      </c>
      <c r="L476">
        <v>1</v>
      </c>
      <c r="M476">
        <v>2</v>
      </c>
      <c r="N476">
        <v>1</v>
      </c>
      <c r="O476" s="2">
        <v>24.87</v>
      </c>
      <c r="P476" s="3">
        <v>0.57899999999999996</v>
      </c>
      <c r="Q476" s="4">
        <v>0.481793981481482</v>
      </c>
      <c r="R476" s="4">
        <v>0.73125000000000007</v>
      </c>
      <c r="S476" s="2">
        <f t="shared" si="115"/>
        <v>37.021000000000001</v>
      </c>
      <c r="T476" s="13">
        <v>37</v>
      </c>
      <c r="U476" s="10">
        <v>37.042000000000002</v>
      </c>
      <c r="V476" s="2">
        <f t="shared" si="116"/>
        <v>4.2000000000001592E-2</v>
      </c>
      <c r="W476" s="2" t="str">
        <f t="shared" si="112"/>
        <v>5:59:13</v>
      </c>
      <c r="X476" s="10">
        <v>7.5999999999999998E-2</v>
      </c>
      <c r="Y476" s="12">
        <f t="shared" si="113"/>
        <v>36.966000000000001</v>
      </c>
      <c r="Z476" s="10">
        <f t="shared" si="117"/>
        <v>-3.399999999999892E-2</v>
      </c>
      <c r="AA476" s="10">
        <f t="shared" si="114"/>
        <v>36.983000000000004</v>
      </c>
      <c r="AB476" s="10" t="s">
        <v>90</v>
      </c>
    </row>
    <row r="477" spans="1:28" ht="15" customHeight="1" x14ac:dyDescent="0.25">
      <c r="A477">
        <v>87</v>
      </c>
      <c r="B477" t="s">
        <v>39</v>
      </c>
      <c r="C477" t="s">
        <v>40</v>
      </c>
      <c r="D477" t="s">
        <v>12</v>
      </c>
      <c r="E477" t="s">
        <v>6</v>
      </c>
      <c r="F477" s="1">
        <v>44973</v>
      </c>
      <c r="G477" s="1">
        <v>45086</v>
      </c>
      <c r="H477">
        <f t="shared" si="107"/>
        <v>113</v>
      </c>
      <c r="I477" t="s">
        <v>36</v>
      </c>
      <c r="J477">
        <v>28.5</v>
      </c>
      <c r="K477">
        <v>143</v>
      </c>
      <c r="L477">
        <v>1</v>
      </c>
      <c r="M477">
        <v>2</v>
      </c>
      <c r="N477">
        <v>1</v>
      </c>
      <c r="O477" s="2">
        <v>30.68</v>
      </c>
      <c r="P477" s="3">
        <v>1.2204999999999999</v>
      </c>
      <c r="Q477" s="4">
        <v>0.481793981481482</v>
      </c>
      <c r="R477" s="4">
        <v>0.73402777777777783</v>
      </c>
      <c r="S477" s="2">
        <f t="shared" si="115"/>
        <v>37.048000000000002</v>
      </c>
      <c r="T477" s="13">
        <v>37</v>
      </c>
      <c r="U477" s="10">
        <v>37.095999999999997</v>
      </c>
      <c r="V477" s="2">
        <f t="shared" si="116"/>
        <v>9.5999999999996533E-2</v>
      </c>
      <c r="W477" s="2" t="str">
        <f t="shared" si="112"/>
        <v>6:03:13</v>
      </c>
      <c r="X477" s="10">
        <v>7.5999999999999998E-2</v>
      </c>
      <c r="Y477" s="12">
        <f t="shared" si="113"/>
        <v>37.019999999999996</v>
      </c>
      <c r="Z477" s="10">
        <f t="shared" si="117"/>
        <v>1.9999999999996021E-2</v>
      </c>
      <c r="AA477" s="10">
        <f t="shared" si="114"/>
        <v>37.01</v>
      </c>
      <c r="AB477" s="10" t="s">
        <v>90</v>
      </c>
    </row>
    <row r="478" spans="1:28" ht="15" customHeight="1" x14ac:dyDescent="0.25">
      <c r="A478">
        <v>87</v>
      </c>
      <c r="B478" t="s">
        <v>39</v>
      </c>
      <c r="C478" t="s">
        <v>40</v>
      </c>
      <c r="D478" t="s">
        <v>12</v>
      </c>
      <c r="E478" t="s">
        <v>6</v>
      </c>
      <c r="F478" s="1">
        <v>44973</v>
      </c>
      <c r="G478" s="1">
        <v>45086</v>
      </c>
      <c r="H478">
        <f t="shared" si="107"/>
        <v>113</v>
      </c>
      <c r="I478" t="s">
        <v>37</v>
      </c>
      <c r="J478">
        <v>30</v>
      </c>
      <c r="K478">
        <v>150</v>
      </c>
      <c r="L478">
        <v>1</v>
      </c>
      <c r="M478">
        <v>2</v>
      </c>
      <c r="N478">
        <v>2</v>
      </c>
      <c r="O478" s="2">
        <v>36.89</v>
      </c>
      <c r="P478" s="3">
        <v>2.0522999999999998</v>
      </c>
      <c r="Q478" s="4">
        <v>0.481793981481482</v>
      </c>
      <c r="R478" s="4">
        <v>0.73402777777777783</v>
      </c>
      <c r="S478" s="2">
        <f t="shared" si="115"/>
        <v>37.048000000000002</v>
      </c>
      <c r="T478" s="13">
        <v>37</v>
      </c>
      <c r="U478" s="10">
        <v>37.095999999999997</v>
      </c>
      <c r="V478" s="2">
        <f t="shared" si="116"/>
        <v>9.5999999999996533E-2</v>
      </c>
      <c r="W478" s="2" t="str">
        <f t="shared" si="112"/>
        <v>6:03:13</v>
      </c>
      <c r="X478" s="10">
        <v>7.5999999999999998E-2</v>
      </c>
      <c r="Y478" s="12">
        <f t="shared" si="113"/>
        <v>37.019999999999996</v>
      </c>
      <c r="Z478" s="10">
        <f t="shared" si="117"/>
        <v>1.9999999999996021E-2</v>
      </c>
      <c r="AA478" s="10">
        <f t="shared" si="114"/>
        <v>37.01</v>
      </c>
      <c r="AB478" s="10" t="s">
        <v>90</v>
      </c>
    </row>
    <row r="479" spans="1:28" ht="15" customHeight="1" x14ac:dyDescent="0.25">
      <c r="A479">
        <v>87</v>
      </c>
      <c r="B479" t="s">
        <v>39</v>
      </c>
      <c r="C479" t="s">
        <v>40</v>
      </c>
      <c r="D479" t="s">
        <v>12</v>
      </c>
      <c r="E479" t="s">
        <v>6</v>
      </c>
      <c r="F479" s="1">
        <v>44973</v>
      </c>
      <c r="G479" s="1">
        <v>45086</v>
      </c>
      <c r="H479">
        <f t="shared" si="107"/>
        <v>113</v>
      </c>
      <c r="I479" t="s">
        <v>36</v>
      </c>
      <c r="J479">
        <v>28.5</v>
      </c>
      <c r="K479">
        <v>143</v>
      </c>
      <c r="L479">
        <v>1</v>
      </c>
      <c r="M479">
        <v>2</v>
      </c>
      <c r="N479">
        <v>5</v>
      </c>
      <c r="O479" s="2">
        <v>25.44</v>
      </c>
      <c r="P479" s="3">
        <v>0.72409999999999997</v>
      </c>
      <c r="Q479" s="4">
        <v>0.481793981481482</v>
      </c>
      <c r="R479" s="4">
        <v>0.73541666666666661</v>
      </c>
      <c r="S479" s="2">
        <f t="shared" si="115"/>
        <v>37.087000000000003</v>
      </c>
      <c r="T479" s="13">
        <v>37.049999999999997</v>
      </c>
      <c r="U479" s="10">
        <v>37.124000000000002</v>
      </c>
      <c r="V479" s="2">
        <f t="shared" si="116"/>
        <v>7.4000000000005173E-2</v>
      </c>
      <c r="W479" s="2" t="str">
        <f t="shared" si="112"/>
        <v>6:05:13</v>
      </c>
      <c r="X479" s="10">
        <v>7.5999999999999998E-2</v>
      </c>
      <c r="Y479" s="12">
        <f t="shared" si="113"/>
        <v>37.048000000000002</v>
      </c>
      <c r="Z479" s="10">
        <f t="shared" si="117"/>
        <v>-1.9999999999953388E-3</v>
      </c>
      <c r="AA479" s="10">
        <f t="shared" si="114"/>
        <v>37.048999999999999</v>
      </c>
      <c r="AB479" s="10" t="s">
        <v>90</v>
      </c>
    </row>
    <row r="480" spans="1:28" ht="15" customHeight="1" x14ac:dyDescent="0.25">
      <c r="A480">
        <v>87</v>
      </c>
      <c r="B480" t="s">
        <v>39</v>
      </c>
      <c r="C480" t="s">
        <v>40</v>
      </c>
      <c r="D480" t="s">
        <v>12</v>
      </c>
      <c r="E480" t="s">
        <v>6</v>
      </c>
      <c r="F480" s="1">
        <v>44973</v>
      </c>
      <c r="G480" s="1">
        <v>45093</v>
      </c>
      <c r="H480">
        <f t="shared" si="107"/>
        <v>120</v>
      </c>
      <c r="J480">
        <v>31.5</v>
      </c>
      <c r="K480">
        <v>358</v>
      </c>
      <c r="L480">
        <v>2</v>
      </c>
      <c r="O480" s="2">
        <v>30.63</v>
      </c>
      <c r="P480" s="3">
        <v>1.1012999999999999</v>
      </c>
      <c r="Q480" s="4">
        <v>0.5</v>
      </c>
      <c r="R480" s="4">
        <v>0.75347222222222221</v>
      </c>
      <c r="S480" s="2"/>
      <c r="T480" s="13"/>
      <c r="V480" s="10"/>
      <c r="W480" s="2" t="str">
        <f t="shared" si="112"/>
        <v>6:05:00</v>
      </c>
      <c r="Y480" s="12"/>
      <c r="AA480" s="10">
        <v>37.1</v>
      </c>
      <c r="AB480" s="10" t="s">
        <v>91</v>
      </c>
    </row>
    <row r="481" spans="1:28" ht="15" customHeight="1" x14ac:dyDescent="0.25">
      <c r="A481">
        <v>87</v>
      </c>
      <c r="B481" t="s">
        <v>39</v>
      </c>
      <c r="C481" t="s">
        <v>40</v>
      </c>
      <c r="D481" t="s">
        <v>12</v>
      </c>
      <c r="E481" t="s">
        <v>6</v>
      </c>
      <c r="F481" s="1">
        <v>44973</v>
      </c>
      <c r="G481" s="1">
        <v>45086</v>
      </c>
      <c r="H481">
        <f t="shared" si="107"/>
        <v>113</v>
      </c>
      <c r="I481" t="s">
        <v>37</v>
      </c>
      <c r="J481">
        <v>30</v>
      </c>
      <c r="K481">
        <v>150</v>
      </c>
      <c r="L481">
        <v>1</v>
      </c>
      <c r="M481">
        <v>2</v>
      </c>
      <c r="N481">
        <v>5</v>
      </c>
      <c r="O481" s="2">
        <v>28.19</v>
      </c>
      <c r="P481" s="3">
        <v>0.95650000000000002</v>
      </c>
      <c r="Q481" s="4">
        <v>0.481793981481482</v>
      </c>
      <c r="R481" s="4">
        <v>0.73993055555555554</v>
      </c>
      <c r="S481" s="2">
        <f>AVERAGE(T481:U481)</f>
        <v>37.159999999999997</v>
      </c>
      <c r="T481" s="13">
        <v>37.1</v>
      </c>
      <c r="U481" s="10">
        <v>37.22</v>
      </c>
      <c r="V481" s="2">
        <f>U481-T481</f>
        <v>0.11999999999999744</v>
      </c>
      <c r="W481" s="2" t="str">
        <f t="shared" si="112"/>
        <v>6:11:43</v>
      </c>
      <c r="X481" s="10">
        <v>7.5999999999999998E-2</v>
      </c>
      <c r="Y481" s="12">
        <f>U481-X481</f>
        <v>37.143999999999998</v>
      </c>
      <c r="Z481" s="10">
        <f>Y481-T481</f>
        <v>4.399999999999693E-2</v>
      </c>
      <c r="AA481" s="10">
        <f>AVERAGE(Y481,T481)</f>
        <v>37.122</v>
      </c>
      <c r="AB481" s="10" t="s">
        <v>90</v>
      </c>
    </row>
    <row r="482" spans="1:28" ht="15" customHeight="1" x14ac:dyDescent="0.25">
      <c r="A482">
        <v>87</v>
      </c>
      <c r="B482" t="s">
        <v>39</v>
      </c>
      <c r="C482" t="s">
        <v>40</v>
      </c>
      <c r="D482" t="s">
        <v>12</v>
      </c>
      <c r="E482" t="s">
        <v>6</v>
      </c>
      <c r="F482" s="1">
        <v>44973</v>
      </c>
      <c r="G482" s="1">
        <v>45086</v>
      </c>
      <c r="H482">
        <f t="shared" si="107"/>
        <v>113</v>
      </c>
      <c r="I482" t="s">
        <v>37</v>
      </c>
      <c r="J482">
        <v>30</v>
      </c>
      <c r="K482">
        <v>150</v>
      </c>
      <c r="L482">
        <v>1</v>
      </c>
      <c r="M482">
        <v>2</v>
      </c>
      <c r="N482">
        <v>4</v>
      </c>
      <c r="O482" s="2">
        <v>32.729999999999997</v>
      </c>
      <c r="P482" s="3">
        <v>1.3606</v>
      </c>
      <c r="Q482" s="4">
        <v>0.481793981481482</v>
      </c>
      <c r="R482" s="4">
        <v>0.73993055555555554</v>
      </c>
      <c r="S482" s="2">
        <f>AVERAGE(T482:U482)</f>
        <v>37.159999999999997</v>
      </c>
      <c r="T482" s="13">
        <v>37.1</v>
      </c>
      <c r="U482" s="10">
        <v>37.22</v>
      </c>
      <c r="V482" s="2">
        <f>U482-T482</f>
        <v>0.11999999999999744</v>
      </c>
      <c r="W482" s="2" t="str">
        <f t="shared" si="112"/>
        <v>6:11:43</v>
      </c>
      <c r="X482" s="10">
        <v>7.5999999999999998E-2</v>
      </c>
      <c r="Y482" s="12">
        <f>U482-X482</f>
        <v>37.143999999999998</v>
      </c>
      <c r="Z482" s="10">
        <f>Y482-T482</f>
        <v>4.399999999999693E-2</v>
      </c>
      <c r="AA482" s="10">
        <f>AVERAGE(Y482,T482)</f>
        <v>37.122</v>
      </c>
      <c r="AB482" s="10" t="s">
        <v>90</v>
      </c>
    </row>
    <row r="483" spans="1:28" ht="15" customHeight="1" x14ac:dyDescent="0.25">
      <c r="A483">
        <v>87</v>
      </c>
      <c r="B483" t="s">
        <v>39</v>
      </c>
      <c r="C483" t="s">
        <v>40</v>
      </c>
      <c r="D483" t="s">
        <v>12</v>
      </c>
      <c r="E483" t="s">
        <v>6</v>
      </c>
      <c r="F483" s="1">
        <v>44973</v>
      </c>
      <c r="G483" s="1">
        <v>45086</v>
      </c>
      <c r="H483">
        <f t="shared" si="107"/>
        <v>113</v>
      </c>
      <c r="I483" t="s">
        <v>37</v>
      </c>
      <c r="J483">
        <v>30</v>
      </c>
      <c r="K483">
        <v>150</v>
      </c>
      <c r="L483">
        <v>1</v>
      </c>
      <c r="M483">
        <v>2</v>
      </c>
      <c r="N483">
        <v>3</v>
      </c>
      <c r="O483" s="2">
        <v>37.5</v>
      </c>
      <c r="P483" s="3">
        <v>2.2504</v>
      </c>
      <c r="Q483" s="4">
        <v>0.481793981481482</v>
      </c>
      <c r="R483" s="4">
        <v>0.73993055555555554</v>
      </c>
      <c r="S483" s="2">
        <f>AVERAGE(T483:U483)</f>
        <v>37.159999999999997</v>
      </c>
      <c r="T483" s="13">
        <v>37.1</v>
      </c>
      <c r="U483" s="10">
        <v>37.22</v>
      </c>
      <c r="V483" s="2">
        <f>U483-T483</f>
        <v>0.11999999999999744</v>
      </c>
      <c r="W483" s="2" t="str">
        <f t="shared" si="112"/>
        <v>6:11:43</v>
      </c>
      <c r="X483" s="10">
        <v>7.5999999999999998E-2</v>
      </c>
      <c r="Y483" s="12">
        <f>U483-X483</f>
        <v>37.143999999999998</v>
      </c>
      <c r="Z483" s="10">
        <f>Y483-T483</f>
        <v>4.399999999999693E-2</v>
      </c>
      <c r="AA483" s="10">
        <f>AVERAGE(Y483,T483)</f>
        <v>37.122</v>
      </c>
      <c r="AB483" s="10" t="s">
        <v>90</v>
      </c>
    </row>
    <row r="484" spans="1:28" ht="15" customHeight="1" x14ac:dyDescent="0.25">
      <c r="A484">
        <v>87</v>
      </c>
      <c r="B484" t="s">
        <v>39</v>
      </c>
      <c r="C484" t="s">
        <v>40</v>
      </c>
      <c r="D484" t="s">
        <v>12</v>
      </c>
      <c r="E484" t="s">
        <v>6</v>
      </c>
      <c r="F484" s="1">
        <v>44973</v>
      </c>
      <c r="G484" s="1">
        <v>45086</v>
      </c>
      <c r="H484">
        <f t="shared" si="107"/>
        <v>113</v>
      </c>
      <c r="I484" t="s">
        <v>38</v>
      </c>
      <c r="J484">
        <v>31.5</v>
      </c>
      <c r="K484">
        <v>125</v>
      </c>
      <c r="L484">
        <v>1</v>
      </c>
      <c r="M484">
        <v>2</v>
      </c>
      <c r="N484">
        <v>2</v>
      </c>
      <c r="O484" s="2">
        <v>34.549999999999997</v>
      </c>
      <c r="P484" s="3">
        <v>0.64510000000000001</v>
      </c>
      <c r="Q484" s="4">
        <v>0.481793981481482</v>
      </c>
      <c r="R484" s="4">
        <v>0.73993055555555554</v>
      </c>
      <c r="S484" s="2">
        <f>AVERAGE(T484:U484)</f>
        <v>37.159999999999997</v>
      </c>
      <c r="T484" s="13">
        <v>37.1</v>
      </c>
      <c r="U484" s="10">
        <v>37.22</v>
      </c>
      <c r="V484" s="2">
        <f>U484-T484</f>
        <v>0.11999999999999744</v>
      </c>
      <c r="W484" s="2" t="str">
        <f t="shared" si="112"/>
        <v>6:11:43</v>
      </c>
      <c r="X484" s="10">
        <v>7.5999999999999998E-2</v>
      </c>
      <c r="Y484" s="12">
        <f>U484-X484</f>
        <v>37.143999999999998</v>
      </c>
      <c r="Z484" s="10">
        <f>Y484-T484</f>
        <v>4.399999999999693E-2</v>
      </c>
      <c r="AA484" s="10">
        <f>AVERAGE(Y484,T484)</f>
        <v>37.122</v>
      </c>
      <c r="AB484" s="10" t="s">
        <v>90</v>
      </c>
    </row>
    <row r="485" spans="1:28" ht="15" customHeight="1" x14ac:dyDescent="0.25">
      <c r="A485">
        <v>87</v>
      </c>
      <c r="B485" t="s">
        <v>39</v>
      </c>
      <c r="C485" t="s">
        <v>40</v>
      </c>
      <c r="D485" t="s">
        <v>12</v>
      </c>
      <c r="E485" t="s">
        <v>6</v>
      </c>
      <c r="F485" s="1">
        <v>44973</v>
      </c>
      <c r="G485" s="1">
        <v>45093</v>
      </c>
      <c r="H485">
        <f t="shared" si="107"/>
        <v>120</v>
      </c>
      <c r="J485">
        <v>28.5</v>
      </c>
      <c r="K485">
        <v>340</v>
      </c>
      <c r="L485">
        <v>2</v>
      </c>
      <c r="O485" s="2">
        <v>36.04</v>
      </c>
      <c r="P485" s="3">
        <v>1.776</v>
      </c>
      <c r="Q485" s="4">
        <v>0.5</v>
      </c>
      <c r="R485" s="4">
        <v>0.7583333333333333</v>
      </c>
      <c r="S485" s="2"/>
      <c r="T485" s="13"/>
      <c r="V485" s="10"/>
      <c r="W485" s="2" t="str">
        <f t="shared" si="112"/>
        <v>6:12:00</v>
      </c>
      <c r="Y485" s="12"/>
      <c r="AA485" s="10">
        <v>37.200000000000003</v>
      </c>
      <c r="AB485" s="10" t="s">
        <v>91</v>
      </c>
    </row>
    <row r="486" spans="1:28" ht="15" customHeight="1" x14ac:dyDescent="0.25">
      <c r="A486">
        <v>87</v>
      </c>
      <c r="B486" t="s">
        <v>39</v>
      </c>
      <c r="C486" t="s">
        <v>40</v>
      </c>
      <c r="D486" t="s">
        <v>12</v>
      </c>
      <c r="E486" t="s">
        <v>6</v>
      </c>
      <c r="F486" s="1">
        <v>44973</v>
      </c>
      <c r="G486" s="1">
        <v>45093</v>
      </c>
      <c r="H486">
        <f t="shared" si="107"/>
        <v>120</v>
      </c>
      <c r="J486">
        <v>31.5</v>
      </c>
      <c r="K486">
        <v>358</v>
      </c>
      <c r="L486">
        <v>2</v>
      </c>
      <c r="O486" s="2">
        <v>30.93</v>
      </c>
      <c r="P486" s="3">
        <v>1.1476999999999999</v>
      </c>
      <c r="Q486" s="4">
        <v>0.5</v>
      </c>
      <c r="R486" s="4">
        <v>0.7583333333333333</v>
      </c>
      <c r="S486" s="2"/>
      <c r="T486" s="13"/>
      <c r="V486" s="10"/>
      <c r="W486" s="2" t="str">
        <f t="shared" si="112"/>
        <v>6:12:00</v>
      </c>
      <c r="Y486" s="12"/>
      <c r="AA486" s="10">
        <v>37.200000000000003</v>
      </c>
      <c r="AB486" s="10" t="s">
        <v>91</v>
      </c>
    </row>
    <row r="487" spans="1:28" ht="15" customHeight="1" x14ac:dyDescent="0.25">
      <c r="A487">
        <v>87</v>
      </c>
      <c r="B487" t="s">
        <v>39</v>
      </c>
      <c r="C487" t="s">
        <v>40</v>
      </c>
      <c r="D487" t="s">
        <v>12</v>
      </c>
      <c r="E487" t="s">
        <v>6</v>
      </c>
      <c r="F487" s="1">
        <v>44973</v>
      </c>
      <c r="G487" s="1">
        <v>45086</v>
      </c>
      <c r="H487">
        <f t="shared" si="107"/>
        <v>113</v>
      </c>
      <c r="I487" t="s">
        <v>38</v>
      </c>
      <c r="J487">
        <v>31.5</v>
      </c>
      <c r="K487">
        <v>125</v>
      </c>
      <c r="L487">
        <v>1</v>
      </c>
      <c r="M487">
        <v>2</v>
      </c>
      <c r="N487">
        <v>1</v>
      </c>
      <c r="O487" s="2">
        <v>37.659999999999997</v>
      </c>
      <c r="P487" s="3">
        <v>0.88419999999999999</v>
      </c>
      <c r="Q487" s="4">
        <v>0.481793981481482</v>
      </c>
      <c r="R487" s="4">
        <v>0.74375000000000002</v>
      </c>
      <c r="S487" s="2">
        <f>AVERAGE(T487:U487)</f>
        <v>37.2575</v>
      </c>
      <c r="T487" s="13">
        <v>37.200000000000003</v>
      </c>
      <c r="U487" s="10">
        <v>37.314999999999998</v>
      </c>
      <c r="V487" s="2">
        <f>U487-T487</f>
        <v>0.11499999999999488</v>
      </c>
      <c r="W487" s="2" t="str">
        <f t="shared" si="112"/>
        <v>6:17:13</v>
      </c>
      <c r="X487" s="10">
        <v>7.5999999999999998E-2</v>
      </c>
      <c r="Y487" s="12">
        <f>U487-X487</f>
        <v>37.238999999999997</v>
      </c>
      <c r="Z487" s="10">
        <f>Y487-T487</f>
        <v>3.8999999999994373E-2</v>
      </c>
      <c r="AA487" s="10">
        <f>AVERAGE(Y487,T487)</f>
        <v>37.219499999999996</v>
      </c>
      <c r="AB487" s="10" t="s">
        <v>90</v>
      </c>
    </row>
    <row r="488" spans="1:28" ht="15" customHeight="1" x14ac:dyDescent="0.25">
      <c r="A488">
        <v>87</v>
      </c>
      <c r="B488" t="s">
        <v>39</v>
      </c>
      <c r="C488" t="s">
        <v>40</v>
      </c>
      <c r="D488" t="s">
        <v>12</v>
      </c>
      <c r="E488" t="s">
        <v>6</v>
      </c>
      <c r="F488" s="1">
        <v>44973</v>
      </c>
      <c r="G488" s="1">
        <v>45083</v>
      </c>
      <c r="H488">
        <f t="shared" si="107"/>
        <v>110</v>
      </c>
      <c r="I488" t="s">
        <v>38</v>
      </c>
      <c r="J488">
        <v>31.5</v>
      </c>
      <c r="K488">
        <v>125</v>
      </c>
      <c r="L488">
        <v>2</v>
      </c>
      <c r="M488">
        <v>6</v>
      </c>
      <c r="N488">
        <v>1</v>
      </c>
      <c r="O488" s="2">
        <v>31.72</v>
      </c>
      <c r="P488" s="3">
        <v>1.4655</v>
      </c>
      <c r="Q488" s="4">
        <v>0.44003472222222201</v>
      </c>
      <c r="R488" s="4">
        <v>0.72013888888888899</v>
      </c>
      <c r="S488" s="2"/>
      <c r="T488" s="13"/>
      <c r="U488" s="10">
        <v>37.232999999999997</v>
      </c>
      <c r="V488" s="2"/>
      <c r="W488" s="2" t="str">
        <f t="shared" si="112"/>
        <v>6:43:21</v>
      </c>
      <c r="X488" s="10">
        <v>7.3099999999999997E-3</v>
      </c>
      <c r="Y488" s="12">
        <f>U488-X488</f>
        <v>37.22569</v>
      </c>
      <c r="AA488" s="10">
        <f>AVERAGE(Y488,T488)</f>
        <v>37.22569</v>
      </c>
      <c r="AB488" s="10" t="s">
        <v>90</v>
      </c>
    </row>
    <row r="489" spans="1:28" ht="15" customHeight="1" x14ac:dyDescent="0.25">
      <c r="A489">
        <v>87</v>
      </c>
      <c r="B489" t="s">
        <v>39</v>
      </c>
      <c r="C489" t="s">
        <v>40</v>
      </c>
      <c r="D489" t="s">
        <v>12</v>
      </c>
      <c r="E489" t="s">
        <v>6</v>
      </c>
      <c r="F489" s="1">
        <v>44973</v>
      </c>
      <c r="G489" s="1">
        <v>45083</v>
      </c>
      <c r="H489">
        <f t="shared" si="107"/>
        <v>110</v>
      </c>
      <c r="I489" t="s">
        <v>38</v>
      </c>
      <c r="J489">
        <v>31.5</v>
      </c>
      <c r="K489">
        <v>125</v>
      </c>
      <c r="L489">
        <v>2</v>
      </c>
      <c r="M489">
        <v>6</v>
      </c>
      <c r="N489">
        <v>5</v>
      </c>
      <c r="O489" s="2">
        <v>34.340000000000003</v>
      </c>
      <c r="P489" s="3">
        <v>1.6709000000000001</v>
      </c>
      <c r="Q489" s="4">
        <v>0.44003472222222201</v>
      </c>
      <c r="R489" s="4">
        <v>0.72013888888888899</v>
      </c>
      <c r="S489" s="2"/>
      <c r="T489" s="13"/>
      <c r="U489" s="10">
        <v>37.232999999999997</v>
      </c>
      <c r="V489" s="2"/>
      <c r="W489" s="2" t="str">
        <f t="shared" si="112"/>
        <v>6:43:21</v>
      </c>
      <c r="X489" s="10">
        <v>7.3099999999999997E-3</v>
      </c>
      <c r="Y489" s="12">
        <f>U489-X489</f>
        <v>37.22569</v>
      </c>
      <c r="AA489" s="10">
        <f>AVERAGE(Y489,T489)</f>
        <v>37.22569</v>
      </c>
      <c r="AB489" s="10" t="s">
        <v>90</v>
      </c>
    </row>
    <row r="490" spans="1:28" ht="15" customHeight="1" x14ac:dyDescent="0.25">
      <c r="A490">
        <v>87</v>
      </c>
      <c r="B490" t="s">
        <v>39</v>
      </c>
      <c r="C490" t="s">
        <v>40</v>
      </c>
      <c r="D490" t="s">
        <v>12</v>
      </c>
      <c r="E490" t="s">
        <v>6</v>
      </c>
      <c r="F490" s="1">
        <v>44973</v>
      </c>
      <c r="G490" s="1">
        <v>45088</v>
      </c>
      <c r="H490">
        <f t="shared" si="107"/>
        <v>115</v>
      </c>
      <c r="J490">
        <v>30</v>
      </c>
      <c r="K490">
        <v>150</v>
      </c>
      <c r="L490">
        <v>1</v>
      </c>
      <c r="O490" s="2">
        <v>30.77</v>
      </c>
      <c r="P490" s="3">
        <v>1.0487</v>
      </c>
      <c r="Q490" s="4">
        <v>0.54236111111111096</v>
      </c>
      <c r="R490" s="4">
        <v>0.8041666666666667</v>
      </c>
      <c r="S490" s="2"/>
      <c r="T490" s="13"/>
      <c r="V490" s="10"/>
      <c r="W490" s="2" t="str">
        <f t="shared" si="112"/>
        <v>6:17:00</v>
      </c>
      <c r="Y490" s="12"/>
      <c r="AA490" s="10">
        <v>37.25</v>
      </c>
      <c r="AB490" s="10" t="s">
        <v>91</v>
      </c>
    </row>
    <row r="491" spans="1:28" ht="15" customHeight="1" x14ac:dyDescent="0.25">
      <c r="A491">
        <v>87</v>
      </c>
      <c r="B491" t="s">
        <v>39</v>
      </c>
      <c r="C491" t="s">
        <v>40</v>
      </c>
      <c r="D491" t="s">
        <v>12</v>
      </c>
      <c r="E491" t="s">
        <v>6</v>
      </c>
      <c r="F491" s="1">
        <v>44973</v>
      </c>
      <c r="G491" s="1">
        <v>45088</v>
      </c>
      <c r="H491">
        <f t="shared" si="107"/>
        <v>115</v>
      </c>
      <c r="J491">
        <v>30</v>
      </c>
      <c r="K491">
        <v>150</v>
      </c>
      <c r="L491">
        <v>1</v>
      </c>
      <c r="O491" s="2">
        <v>31.97</v>
      </c>
      <c r="P491" s="3">
        <v>1.4177</v>
      </c>
      <c r="Q491" s="4">
        <v>0.54236111111111096</v>
      </c>
      <c r="R491" s="4">
        <v>0.8041666666666667</v>
      </c>
      <c r="S491" s="2"/>
      <c r="T491" s="13"/>
      <c r="V491" s="10"/>
      <c r="W491" s="2" t="str">
        <f t="shared" si="112"/>
        <v>6:17:00</v>
      </c>
      <c r="Y491" s="12"/>
      <c r="AA491" s="10">
        <v>37.25</v>
      </c>
      <c r="AB491" s="10" t="s">
        <v>91</v>
      </c>
    </row>
    <row r="492" spans="1:28" ht="15" customHeight="1" x14ac:dyDescent="0.25">
      <c r="A492">
        <v>87</v>
      </c>
      <c r="B492" t="s">
        <v>39</v>
      </c>
      <c r="C492" t="s">
        <v>40</v>
      </c>
      <c r="D492" t="s">
        <v>12</v>
      </c>
      <c r="E492" t="s">
        <v>6</v>
      </c>
      <c r="F492" s="1">
        <v>44973</v>
      </c>
      <c r="G492" s="1">
        <v>45083</v>
      </c>
      <c r="H492">
        <f t="shared" si="107"/>
        <v>110</v>
      </c>
      <c r="I492" t="s">
        <v>38</v>
      </c>
      <c r="J492">
        <v>31.5</v>
      </c>
      <c r="K492">
        <v>125</v>
      </c>
      <c r="L492">
        <v>2</v>
      </c>
      <c r="M492">
        <v>6</v>
      </c>
      <c r="N492">
        <v>3</v>
      </c>
      <c r="O492" s="2">
        <v>26.85</v>
      </c>
      <c r="P492" s="3">
        <v>0.79459999999999997</v>
      </c>
      <c r="Q492" s="4">
        <v>0.44003472222222201</v>
      </c>
      <c r="R492" s="4">
        <v>0.72291666666666676</v>
      </c>
      <c r="S492" s="2">
        <f t="shared" ref="S492:S497" si="118">AVERAGE(T492:U492)</f>
        <v>37.293999999999997</v>
      </c>
      <c r="T492" s="13">
        <v>37.299999999999997</v>
      </c>
      <c r="U492" s="10">
        <v>37.287999999999997</v>
      </c>
      <c r="V492" s="2">
        <f t="shared" ref="V492:V497" si="119">U492-T492</f>
        <v>-1.2000000000000455E-2</v>
      </c>
      <c r="W492" s="2" t="str">
        <f t="shared" si="112"/>
        <v>6:47:21</v>
      </c>
      <c r="X492" s="10">
        <v>7.3099999999999997E-3</v>
      </c>
      <c r="Y492" s="12">
        <f t="shared" ref="Y492:Y512" si="120">U492-X492</f>
        <v>37.28069</v>
      </c>
      <c r="Z492" s="10">
        <f t="shared" ref="Z492:Z497" si="121">Y492-T492</f>
        <v>-1.9309999999997274E-2</v>
      </c>
      <c r="AA492" s="10">
        <f t="shared" ref="AA492:AA512" si="122">AVERAGE(Y492,T492)</f>
        <v>37.290345000000002</v>
      </c>
      <c r="AB492" s="10" t="s">
        <v>90</v>
      </c>
    </row>
    <row r="493" spans="1:28" ht="15" customHeight="1" x14ac:dyDescent="0.25">
      <c r="A493">
        <v>87</v>
      </c>
      <c r="B493" t="s">
        <v>39</v>
      </c>
      <c r="C493" t="s">
        <v>40</v>
      </c>
      <c r="D493" t="s">
        <v>12</v>
      </c>
      <c r="E493" t="s">
        <v>6</v>
      </c>
      <c r="F493" s="1">
        <v>44973</v>
      </c>
      <c r="G493" s="1">
        <v>45083</v>
      </c>
      <c r="H493">
        <f t="shared" si="107"/>
        <v>110</v>
      </c>
      <c r="I493" t="s">
        <v>38</v>
      </c>
      <c r="J493">
        <v>31.5</v>
      </c>
      <c r="K493">
        <v>125</v>
      </c>
      <c r="L493">
        <v>2</v>
      </c>
      <c r="M493">
        <v>6</v>
      </c>
      <c r="N493">
        <v>4</v>
      </c>
      <c r="O493" s="2">
        <v>30.46</v>
      </c>
      <c r="P493" s="3">
        <v>1.1372</v>
      </c>
      <c r="Q493" s="4">
        <v>0.44003472222222201</v>
      </c>
      <c r="R493" s="4">
        <v>0.72291666666666676</v>
      </c>
      <c r="S493" s="2">
        <f t="shared" si="118"/>
        <v>37.293999999999997</v>
      </c>
      <c r="T493" s="13">
        <v>37.299999999999997</v>
      </c>
      <c r="U493" s="10">
        <v>37.287999999999997</v>
      </c>
      <c r="V493" s="2">
        <f t="shared" si="119"/>
        <v>-1.2000000000000455E-2</v>
      </c>
      <c r="W493" s="2" t="str">
        <f t="shared" si="112"/>
        <v>6:47:21</v>
      </c>
      <c r="X493" s="10">
        <v>7.3099999999999997E-3</v>
      </c>
      <c r="Y493" s="12">
        <f t="shared" si="120"/>
        <v>37.28069</v>
      </c>
      <c r="Z493" s="10">
        <f t="shared" si="121"/>
        <v>-1.9309999999997274E-2</v>
      </c>
      <c r="AA493" s="10">
        <f t="shared" si="122"/>
        <v>37.290345000000002</v>
      </c>
      <c r="AB493" s="10" t="s">
        <v>90</v>
      </c>
    </row>
    <row r="494" spans="1:28" ht="15" customHeight="1" x14ac:dyDescent="0.25">
      <c r="A494">
        <v>87</v>
      </c>
      <c r="B494" t="s">
        <v>39</v>
      </c>
      <c r="C494" t="s">
        <v>40</v>
      </c>
      <c r="D494" t="s">
        <v>12</v>
      </c>
      <c r="E494" t="s">
        <v>6</v>
      </c>
      <c r="F494" s="1">
        <v>44973</v>
      </c>
      <c r="G494" s="1">
        <v>45083</v>
      </c>
      <c r="H494">
        <f t="shared" si="107"/>
        <v>110</v>
      </c>
      <c r="I494" t="s">
        <v>38</v>
      </c>
      <c r="J494">
        <v>31.5</v>
      </c>
      <c r="K494">
        <v>125</v>
      </c>
      <c r="L494">
        <v>2</v>
      </c>
      <c r="M494">
        <v>6</v>
      </c>
      <c r="N494">
        <v>2</v>
      </c>
      <c r="O494" s="2">
        <v>30.29</v>
      </c>
      <c r="P494" s="3">
        <v>1.2727999999999999</v>
      </c>
      <c r="Q494" s="4">
        <v>0.44003472222222201</v>
      </c>
      <c r="R494" s="4">
        <v>0.72291666666666676</v>
      </c>
      <c r="S494" s="2">
        <f t="shared" si="118"/>
        <v>37.293999999999997</v>
      </c>
      <c r="T494" s="13">
        <v>37.299999999999997</v>
      </c>
      <c r="U494" s="10">
        <v>37.287999999999997</v>
      </c>
      <c r="V494" s="2">
        <f t="shared" si="119"/>
        <v>-1.2000000000000455E-2</v>
      </c>
      <c r="W494" s="2" t="str">
        <f t="shared" si="112"/>
        <v>6:47:21</v>
      </c>
      <c r="X494" s="10">
        <v>7.3099999999999997E-3</v>
      </c>
      <c r="Y494" s="12">
        <f t="shared" si="120"/>
        <v>37.28069</v>
      </c>
      <c r="Z494" s="10">
        <f t="shared" si="121"/>
        <v>-1.9309999999997274E-2</v>
      </c>
      <c r="AA494" s="10">
        <f t="shared" si="122"/>
        <v>37.290345000000002</v>
      </c>
      <c r="AB494" s="10" t="s">
        <v>90</v>
      </c>
    </row>
    <row r="495" spans="1:28" ht="15" customHeight="1" x14ac:dyDescent="0.25">
      <c r="A495">
        <v>87</v>
      </c>
      <c r="B495" t="s">
        <v>39</v>
      </c>
      <c r="C495" t="s">
        <v>40</v>
      </c>
      <c r="D495" t="s">
        <v>12</v>
      </c>
      <c r="E495" t="s">
        <v>6</v>
      </c>
      <c r="F495" s="1">
        <v>44973</v>
      </c>
      <c r="G495" s="1">
        <v>45086</v>
      </c>
      <c r="H495">
        <f t="shared" si="107"/>
        <v>113</v>
      </c>
      <c r="I495" t="s">
        <v>38</v>
      </c>
      <c r="J495">
        <v>31.5</v>
      </c>
      <c r="K495">
        <v>125</v>
      </c>
      <c r="L495">
        <v>1</v>
      </c>
      <c r="M495">
        <v>2</v>
      </c>
      <c r="N495">
        <v>4</v>
      </c>
      <c r="O495" s="2">
        <v>27.29</v>
      </c>
      <c r="P495" s="3">
        <v>0.90629999999999999</v>
      </c>
      <c r="Q495" s="4">
        <v>0.481793981481482</v>
      </c>
      <c r="R495" s="4">
        <v>0.74583333333333324</v>
      </c>
      <c r="S495" s="2">
        <f t="shared" si="118"/>
        <v>37.384999999999998</v>
      </c>
      <c r="T495" s="13">
        <v>37.4</v>
      </c>
      <c r="U495" s="10">
        <v>37.369999999999997</v>
      </c>
      <c r="V495" s="2">
        <f t="shared" si="119"/>
        <v>-3.0000000000001137E-2</v>
      </c>
      <c r="W495" s="2" t="str">
        <f t="shared" si="112"/>
        <v>6:20:13</v>
      </c>
      <c r="X495" s="10">
        <v>7.5999999999999998E-2</v>
      </c>
      <c r="Y495" s="12">
        <f t="shared" si="120"/>
        <v>37.293999999999997</v>
      </c>
      <c r="Z495" s="10">
        <f t="shared" si="121"/>
        <v>-0.10600000000000165</v>
      </c>
      <c r="AA495" s="10">
        <f t="shared" si="122"/>
        <v>37.346999999999994</v>
      </c>
      <c r="AB495" s="10" t="s">
        <v>90</v>
      </c>
    </row>
    <row r="496" spans="1:28" ht="15" customHeight="1" x14ac:dyDescent="0.25">
      <c r="A496">
        <v>87</v>
      </c>
      <c r="B496" t="s">
        <v>39</v>
      </c>
      <c r="C496" t="s">
        <v>40</v>
      </c>
      <c r="D496" t="s">
        <v>12</v>
      </c>
      <c r="E496" t="s">
        <v>6</v>
      </c>
      <c r="F496" s="1">
        <v>44973</v>
      </c>
      <c r="G496" s="1">
        <v>45086</v>
      </c>
      <c r="H496">
        <f t="shared" si="107"/>
        <v>113</v>
      </c>
      <c r="I496" t="s">
        <v>38</v>
      </c>
      <c r="J496">
        <v>31.5</v>
      </c>
      <c r="K496">
        <v>125</v>
      </c>
      <c r="L496">
        <v>1</v>
      </c>
      <c r="M496">
        <v>2</v>
      </c>
      <c r="N496">
        <v>5</v>
      </c>
      <c r="O496" s="2">
        <v>39.46</v>
      </c>
      <c r="P496" s="3">
        <v>1.0217000000000001</v>
      </c>
      <c r="Q496" s="4">
        <v>0.481793981481482</v>
      </c>
      <c r="R496" s="4">
        <v>0.74652777777777779</v>
      </c>
      <c r="S496" s="2">
        <f t="shared" si="118"/>
        <v>37.399000000000001</v>
      </c>
      <c r="T496" s="13">
        <v>37.4</v>
      </c>
      <c r="U496" s="10">
        <v>37.398000000000003</v>
      </c>
      <c r="V496" s="2">
        <f t="shared" si="119"/>
        <v>-1.9999999999953388E-3</v>
      </c>
      <c r="W496" s="2" t="str">
        <f t="shared" si="112"/>
        <v>6:21:13</v>
      </c>
      <c r="X496" s="10">
        <v>7.5999999999999998E-2</v>
      </c>
      <c r="Y496" s="12">
        <f t="shared" si="120"/>
        <v>37.322000000000003</v>
      </c>
      <c r="Z496" s="10">
        <f t="shared" si="121"/>
        <v>-7.799999999999585E-2</v>
      </c>
      <c r="AA496" s="10">
        <f t="shared" si="122"/>
        <v>37.361000000000004</v>
      </c>
      <c r="AB496" s="10" t="s">
        <v>90</v>
      </c>
    </row>
    <row r="497" spans="1:28" ht="15" customHeight="1" x14ac:dyDescent="0.25">
      <c r="A497">
        <v>87</v>
      </c>
      <c r="B497" t="s">
        <v>39</v>
      </c>
      <c r="C497" t="s">
        <v>40</v>
      </c>
      <c r="D497" t="s">
        <v>12</v>
      </c>
      <c r="E497" t="s">
        <v>6</v>
      </c>
      <c r="F497" s="1">
        <v>44973</v>
      </c>
      <c r="G497" s="1">
        <v>45086</v>
      </c>
      <c r="H497">
        <f t="shared" si="107"/>
        <v>113</v>
      </c>
      <c r="I497" t="s">
        <v>38</v>
      </c>
      <c r="J497">
        <v>31.5</v>
      </c>
      <c r="K497">
        <v>125</v>
      </c>
      <c r="L497">
        <v>1</v>
      </c>
      <c r="M497">
        <v>2</v>
      </c>
      <c r="N497">
        <v>3</v>
      </c>
      <c r="O497" s="2">
        <v>30.98</v>
      </c>
      <c r="P497" s="3">
        <v>1.3698999999999999</v>
      </c>
      <c r="Q497" s="4">
        <v>0.481793981481482</v>
      </c>
      <c r="R497" s="4">
        <v>0.74652777777777779</v>
      </c>
      <c r="S497" s="2">
        <f t="shared" si="118"/>
        <v>37.399000000000001</v>
      </c>
      <c r="T497" s="13">
        <v>37.4</v>
      </c>
      <c r="U497" s="10">
        <v>37.398000000000003</v>
      </c>
      <c r="V497" s="2">
        <f t="shared" si="119"/>
        <v>-1.9999999999953388E-3</v>
      </c>
      <c r="W497" s="2" t="str">
        <f t="shared" si="112"/>
        <v>6:21:13</v>
      </c>
      <c r="X497" s="10">
        <v>7.5999999999999998E-2</v>
      </c>
      <c r="Y497" s="12">
        <f t="shared" si="120"/>
        <v>37.322000000000003</v>
      </c>
      <c r="Z497" s="10">
        <f t="shared" si="121"/>
        <v>-7.799999999999585E-2</v>
      </c>
      <c r="AA497" s="10">
        <f t="shared" si="122"/>
        <v>37.361000000000004</v>
      </c>
      <c r="AB497" s="10" t="s">
        <v>90</v>
      </c>
    </row>
    <row r="498" spans="1:28" ht="15" customHeight="1" x14ac:dyDescent="0.25">
      <c r="A498">
        <v>87</v>
      </c>
      <c r="B498" t="s">
        <v>39</v>
      </c>
      <c r="C498" t="s">
        <v>40</v>
      </c>
      <c r="D498" t="s">
        <v>12</v>
      </c>
      <c r="E498" t="s">
        <v>6</v>
      </c>
      <c r="F498" s="1">
        <v>44973</v>
      </c>
      <c r="G498" s="1">
        <v>45083</v>
      </c>
      <c r="H498">
        <f t="shared" si="107"/>
        <v>110</v>
      </c>
      <c r="I498" t="s">
        <v>36</v>
      </c>
      <c r="J498">
        <v>28.5</v>
      </c>
      <c r="K498">
        <v>340</v>
      </c>
      <c r="L498">
        <v>2</v>
      </c>
      <c r="M498">
        <v>6</v>
      </c>
      <c r="N498">
        <v>5</v>
      </c>
      <c r="O498" s="2">
        <v>33.01</v>
      </c>
      <c r="P498" s="3">
        <v>1.4717</v>
      </c>
      <c r="Q498" s="4">
        <v>0.44003472222222201</v>
      </c>
      <c r="R498" s="4">
        <v>0.71493055555555562</v>
      </c>
      <c r="S498" s="2"/>
      <c r="T498" s="13"/>
      <c r="V498" s="2"/>
      <c r="W498" s="2" t="str">
        <f t="shared" si="112"/>
        <v>6:35:51</v>
      </c>
      <c r="X498" s="10">
        <v>7.3099999999999997E-3</v>
      </c>
      <c r="Y498" s="12">
        <f t="shared" si="120"/>
        <v>-7.3099999999999997E-3</v>
      </c>
      <c r="AB498" s="10" t="s">
        <v>90</v>
      </c>
    </row>
    <row r="499" spans="1:28" ht="15" customHeight="1" x14ac:dyDescent="0.25">
      <c r="A499">
        <v>87</v>
      </c>
      <c r="B499" t="s">
        <v>39</v>
      </c>
      <c r="C499" t="s">
        <v>40</v>
      </c>
      <c r="D499" t="s">
        <v>12</v>
      </c>
      <c r="E499" t="s">
        <v>6</v>
      </c>
      <c r="F499" s="1">
        <v>44973</v>
      </c>
      <c r="G499" s="1">
        <v>45083</v>
      </c>
      <c r="H499">
        <f t="shared" si="107"/>
        <v>110</v>
      </c>
      <c r="I499" t="s">
        <v>37</v>
      </c>
      <c r="J499">
        <v>30</v>
      </c>
      <c r="K499">
        <v>334</v>
      </c>
      <c r="L499">
        <v>2</v>
      </c>
      <c r="M499">
        <v>6</v>
      </c>
      <c r="N499">
        <v>1</v>
      </c>
      <c r="O499" s="2">
        <v>28.24</v>
      </c>
      <c r="P499" s="3">
        <v>0.82730000000000004</v>
      </c>
      <c r="Q499" s="4">
        <v>0.44003472222222201</v>
      </c>
      <c r="R499" s="4">
        <v>0.71493055555555562</v>
      </c>
      <c r="S499" s="2"/>
      <c r="T499" s="13"/>
      <c r="V499" s="2"/>
      <c r="W499" s="2" t="str">
        <f t="shared" si="112"/>
        <v>6:35:51</v>
      </c>
      <c r="X499" s="10">
        <v>7.3099999999999997E-3</v>
      </c>
      <c r="Y499" s="12">
        <f t="shared" si="120"/>
        <v>-7.3099999999999997E-3</v>
      </c>
      <c r="AB499" s="10" t="s">
        <v>90</v>
      </c>
    </row>
    <row r="500" spans="1:28" ht="15" customHeight="1" x14ac:dyDescent="0.25">
      <c r="A500">
        <v>87</v>
      </c>
      <c r="B500" t="s">
        <v>39</v>
      </c>
      <c r="C500" t="s">
        <v>40</v>
      </c>
      <c r="D500" t="s">
        <v>12</v>
      </c>
      <c r="E500" t="s">
        <v>6</v>
      </c>
      <c r="F500" s="1">
        <v>44973</v>
      </c>
      <c r="G500" s="1">
        <v>45083</v>
      </c>
      <c r="H500">
        <f t="shared" si="107"/>
        <v>110</v>
      </c>
      <c r="I500" t="s">
        <v>37</v>
      </c>
      <c r="J500">
        <v>30</v>
      </c>
      <c r="K500">
        <v>334</v>
      </c>
      <c r="L500">
        <v>2</v>
      </c>
      <c r="M500">
        <v>6</v>
      </c>
      <c r="N500">
        <v>2</v>
      </c>
      <c r="O500" s="2">
        <v>28.62</v>
      </c>
      <c r="P500" s="3">
        <v>1.0142</v>
      </c>
      <c r="Q500" s="4">
        <v>0.44003472222222201</v>
      </c>
      <c r="R500" s="4">
        <v>0.71493055555555562</v>
      </c>
      <c r="S500" s="2"/>
      <c r="T500" s="13"/>
      <c r="V500" s="2"/>
      <c r="W500" s="2" t="str">
        <f t="shared" ref="W500:W531" si="123">TEXT(R500-Q500,"h:mm:ss")</f>
        <v>6:35:51</v>
      </c>
      <c r="X500" s="10">
        <v>7.3099999999999997E-3</v>
      </c>
      <c r="Y500" s="12">
        <f t="shared" si="120"/>
        <v>-7.3099999999999997E-3</v>
      </c>
      <c r="AA500" s="10">
        <f t="shared" si="122"/>
        <v>-7.3099999999999997E-3</v>
      </c>
      <c r="AB500" s="10" t="s">
        <v>90</v>
      </c>
    </row>
    <row r="501" spans="1:28" ht="15" customHeight="1" x14ac:dyDescent="0.25">
      <c r="A501">
        <v>87</v>
      </c>
      <c r="B501" t="s">
        <v>39</v>
      </c>
      <c r="C501" t="s">
        <v>40</v>
      </c>
      <c r="D501" t="s">
        <v>12</v>
      </c>
      <c r="E501" t="s">
        <v>6</v>
      </c>
      <c r="F501" s="1">
        <v>44973</v>
      </c>
      <c r="G501" s="1">
        <v>45083</v>
      </c>
      <c r="H501">
        <f t="shared" si="107"/>
        <v>110</v>
      </c>
      <c r="I501" t="s">
        <v>37</v>
      </c>
      <c r="J501">
        <v>30</v>
      </c>
      <c r="K501">
        <v>334</v>
      </c>
      <c r="L501">
        <v>2</v>
      </c>
      <c r="M501">
        <v>6</v>
      </c>
      <c r="N501">
        <v>5</v>
      </c>
      <c r="O501" s="2">
        <v>29.62</v>
      </c>
      <c r="P501" s="3">
        <v>1.0761000000000001</v>
      </c>
      <c r="Q501" s="4">
        <v>0.44003472222222201</v>
      </c>
      <c r="R501" s="4">
        <v>0.71493055555555562</v>
      </c>
      <c r="S501" s="2"/>
      <c r="T501" s="13"/>
      <c r="V501" s="2"/>
      <c r="W501" s="2" t="str">
        <f t="shared" si="123"/>
        <v>6:35:51</v>
      </c>
      <c r="X501" s="10">
        <v>7.3099999999999997E-3</v>
      </c>
      <c r="Y501" s="12">
        <f t="shared" si="120"/>
        <v>-7.3099999999999997E-3</v>
      </c>
      <c r="AA501" s="10">
        <f t="shared" si="122"/>
        <v>-7.3099999999999997E-3</v>
      </c>
      <c r="AB501" s="10" t="s">
        <v>90</v>
      </c>
    </row>
    <row r="502" spans="1:28" ht="15" customHeight="1" x14ac:dyDescent="0.25">
      <c r="A502">
        <v>87</v>
      </c>
      <c r="B502" t="s">
        <v>39</v>
      </c>
      <c r="C502" t="s">
        <v>40</v>
      </c>
      <c r="D502" t="s">
        <v>12</v>
      </c>
      <c r="E502" t="s">
        <v>6</v>
      </c>
      <c r="F502" s="1">
        <v>44973</v>
      </c>
      <c r="G502" s="1">
        <v>45083</v>
      </c>
      <c r="H502">
        <f t="shared" si="107"/>
        <v>110</v>
      </c>
      <c r="I502" t="s">
        <v>37</v>
      </c>
      <c r="J502">
        <v>30</v>
      </c>
      <c r="K502">
        <v>334</v>
      </c>
      <c r="L502">
        <v>2</v>
      </c>
      <c r="M502">
        <v>6</v>
      </c>
      <c r="N502">
        <v>4</v>
      </c>
      <c r="O502" s="2">
        <v>29.98</v>
      </c>
      <c r="P502" s="3">
        <v>1.0779000000000001</v>
      </c>
      <c r="Q502" s="4">
        <v>0.44003472222222201</v>
      </c>
      <c r="R502" s="4">
        <v>0.71493055555555562</v>
      </c>
      <c r="S502" s="2"/>
      <c r="T502" s="13"/>
      <c r="V502" s="2"/>
      <c r="W502" s="2" t="str">
        <f t="shared" si="123"/>
        <v>6:35:51</v>
      </c>
      <c r="X502" s="10">
        <v>7.3099999999999997E-3</v>
      </c>
      <c r="Y502" s="12">
        <f t="shared" si="120"/>
        <v>-7.3099999999999997E-3</v>
      </c>
      <c r="AA502" s="10">
        <f t="shared" si="122"/>
        <v>-7.3099999999999997E-3</v>
      </c>
      <c r="AB502" s="10" t="s">
        <v>90</v>
      </c>
    </row>
    <row r="503" spans="1:28" ht="15" customHeight="1" x14ac:dyDescent="0.25">
      <c r="A503">
        <v>87</v>
      </c>
      <c r="B503" t="s">
        <v>39</v>
      </c>
      <c r="C503" t="s">
        <v>40</v>
      </c>
      <c r="D503" t="s">
        <v>12</v>
      </c>
      <c r="E503" t="s">
        <v>6</v>
      </c>
      <c r="F503" s="1">
        <v>44973</v>
      </c>
      <c r="G503" s="1">
        <v>45083</v>
      </c>
      <c r="H503">
        <f t="shared" si="107"/>
        <v>110</v>
      </c>
      <c r="I503" t="s">
        <v>37</v>
      </c>
      <c r="J503">
        <v>30</v>
      </c>
      <c r="K503">
        <v>334</v>
      </c>
      <c r="L503">
        <v>2</v>
      </c>
      <c r="M503">
        <v>6</v>
      </c>
      <c r="N503">
        <v>3</v>
      </c>
      <c r="O503" s="2">
        <v>30.43</v>
      </c>
      <c r="P503" s="3">
        <v>1.1564000000000001</v>
      </c>
      <c r="Q503" s="4">
        <v>0.44003472222222201</v>
      </c>
      <c r="R503" s="4">
        <v>0.71493055555555562</v>
      </c>
      <c r="S503" s="2"/>
      <c r="T503" s="13"/>
      <c r="V503" s="2"/>
      <c r="W503" s="2" t="str">
        <f t="shared" si="123"/>
        <v>6:35:51</v>
      </c>
      <c r="X503" s="10">
        <v>7.3099999999999997E-3</v>
      </c>
      <c r="Y503" s="12">
        <f t="shared" si="120"/>
        <v>-7.3099999999999997E-3</v>
      </c>
      <c r="AA503" s="10">
        <f t="shared" si="122"/>
        <v>-7.3099999999999997E-3</v>
      </c>
      <c r="AB503" s="10" t="s">
        <v>90</v>
      </c>
    </row>
    <row r="504" spans="1:28" ht="15" customHeight="1" x14ac:dyDescent="0.25">
      <c r="A504">
        <v>90</v>
      </c>
      <c r="B504" t="s">
        <v>54</v>
      </c>
      <c r="C504" t="s">
        <v>55</v>
      </c>
      <c r="D504" t="s">
        <v>12</v>
      </c>
      <c r="E504" t="s">
        <v>56</v>
      </c>
      <c r="F504" s="1">
        <v>44977</v>
      </c>
      <c r="G504" s="1">
        <v>45119</v>
      </c>
      <c r="H504">
        <f t="shared" si="107"/>
        <v>142</v>
      </c>
      <c r="I504" t="s">
        <v>38</v>
      </c>
      <c r="J504">
        <v>28.5</v>
      </c>
      <c r="K504">
        <v>243</v>
      </c>
      <c r="L504">
        <v>1</v>
      </c>
      <c r="M504">
        <v>5</v>
      </c>
      <c r="N504">
        <v>2</v>
      </c>
      <c r="O504" s="2">
        <v>26.85</v>
      </c>
      <c r="P504" s="3">
        <v>0.81540000000000001</v>
      </c>
      <c r="Q504" s="4">
        <v>0.50962962962962999</v>
      </c>
      <c r="R504" s="4">
        <v>0.74652777777777779</v>
      </c>
      <c r="T504" s="13">
        <v>36.6</v>
      </c>
      <c r="U504" s="10">
        <v>36.661000000000001</v>
      </c>
      <c r="V504" s="2">
        <f t="shared" ref="V504:V510" si="124">U504-T504</f>
        <v>6.0999999999999943E-2</v>
      </c>
      <c r="W504" s="2" t="str">
        <f t="shared" si="123"/>
        <v>5:41:08</v>
      </c>
      <c r="X504" s="10">
        <v>0.111</v>
      </c>
      <c r="Y504" s="12">
        <f t="shared" si="120"/>
        <v>36.550000000000004</v>
      </c>
      <c r="Z504" s="10">
        <f t="shared" ref="Z504:Z510" si="125">Y504-T504</f>
        <v>-4.9999999999997158E-2</v>
      </c>
      <c r="AA504" s="10">
        <f t="shared" si="122"/>
        <v>36.575000000000003</v>
      </c>
      <c r="AB504" s="10" t="s">
        <v>90</v>
      </c>
    </row>
    <row r="505" spans="1:28" ht="15" customHeight="1" x14ac:dyDescent="0.25">
      <c r="A505">
        <v>90</v>
      </c>
      <c r="B505" t="s">
        <v>54</v>
      </c>
      <c r="C505" t="s">
        <v>55</v>
      </c>
      <c r="D505" t="s">
        <v>12</v>
      </c>
      <c r="E505" t="s">
        <v>56</v>
      </c>
      <c r="F505" s="1">
        <v>44977</v>
      </c>
      <c r="G505" s="1">
        <v>45119</v>
      </c>
      <c r="H505">
        <f t="shared" si="107"/>
        <v>142</v>
      </c>
      <c r="I505" t="s">
        <v>38</v>
      </c>
      <c r="J505">
        <v>28.5</v>
      </c>
      <c r="K505">
        <v>243</v>
      </c>
      <c r="L505">
        <v>1</v>
      </c>
      <c r="M505">
        <v>5</v>
      </c>
      <c r="N505">
        <v>3</v>
      </c>
      <c r="O505" s="2">
        <v>29.55</v>
      </c>
      <c r="P505" s="3">
        <v>1.0271999999999999</v>
      </c>
      <c r="Q505" s="4">
        <v>0.50962962962962999</v>
      </c>
      <c r="R505" s="4">
        <v>0.75</v>
      </c>
      <c r="T505" s="13">
        <v>36.6</v>
      </c>
      <c r="U505" s="10">
        <v>36.741999999999997</v>
      </c>
      <c r="V505" s="8">
        <f t="shared" si="124"/>
        <v>0.14199999999999591</v>
      </c>
      <c r="W505" s="2" t="str">
        <f t="shared" si="123"/>
        <v>5:46:08</v>
      </c>
      <c r="X505" s="10">
        <v>0.111</v>
      </c>
      <c r="Y505" s="12">
        <f t="shared" si="120"/>
        <v>36.631</v>
      </c>
      <c r="Z505" s="10">
        <f t="shared" si="125"/>
        <v>3.0999999999998806E-2</v>
      </c>
      <c r="AA505" s="10">
        <f t="shared" si="122"/>
        <v>36.615499999999997</v>
      </c>
      <c r="AB505" s="10" t="s">
        <v>90</v>
      </c>
    </row>
    <row r="506" spans="1:28" ht="15" customHeight="1" x14ac:dyDescent="0.25">
      <c r="A506">
        <v>90</v>
      </c>
      <c r="B506" t="s">
        <v>54</v>
      </c>
      <c r="C506" t="s">
        <v>55</v>
      </c>
      <c r="D506" t="s">
        <v>12</v>
      </c>
      <c r="E506" t="s">
        <v>56</v>
      </c>
      <c r="F506" s="1">
        <v>44977</v>
      </c>
      <c r="G506" s="1">
        <v>45119</v>
      </c>
      <c r="H506">
        <f t="shared" si="107"/>
        <v>142</v>
      </c>
      <c r="I506" t="s">
        <v>38</v>
      </c>
      <c r="J506">
        <v>28.5</v>
      </c>
      <c r="K506">
        <v>243</v>
      </c>
      <c r="L506">
        <v>1</v>
      </c>
      <c r="M506">
        <v>5</v>
      </c>
      <c r="N506">
        <v>4</v>
      </c>
      <c r="O506" s="2">
        <v>33.35</v>
      </c>
      <c r="P506" s="3">
        <v>1.4912000000000001</v>
      </c>
      <c r="Q506" s="4">
        <v>0.50962962962962999</v>
      </c>
      <c r="R506" s="4">
        <v>0.75208333333333333</v>
      </c>
      <c r="T506" s="13">
        <v>36.799999999999997</v>
      </c>
      <c r="U506" s="10">
        <v>36.795999999999999</v>
      </c>
      <c r="V506" s="2">
        <f t="shared" si="124"/>
        <v>-3.9999999999977831E-3</v>
      </c>
      <c r="W506" s="2" t="str">
        <f t="shared" si="123"/>
        <v>5:49:08</v>
      </c>
      <c r="X506" s="10">
        <v>0.111</v>
      </c>
      <c r="Y506" s="12">
        <f t="shared" si="120"/>
        <v>36.685000000000002</v>
      </c>
      <c r="Z506" s="10">
        <f t="shared" si="125"/>
        <v>-0.11499999999999488</v>
      </c>
      <c r="AA506" s="10">
        <f t="shared" si="122"/>
        <v>36.7425</v>
      </c>
      <c r="AB506" s="10" t="s">
        <v>90</v>
      </c>
    </row>
    <row r="507" spans="1:28" ht="15" customHeight="1" x14ac:dyDescent="0.25">
      <c r="A507">
        <v>90</v>
      </c>
      <c r="B507" t="s">
        <v>54</v>
      </c>
      <c r="C507" t="s">
        <v>55</v>
      </c>
      <c r="D507" t="s">
        <v>12</v>
      </c>
      <c r="E507" t="s">
        <v>56</v>
      </c>
      <c r="F507" s="1">
        <v>44977</v>
      </c>
      <c r="G507" s="1">
        <v>45113</v>
      </c>
      <c r="H507">
        <f t="shared" si="107"/>
        <v>136</v>
      </c>
      <c r="I507" t="s">
        <v>37</v>
      </c>
      <c r="J507">
        <v>28.5</v>
      </c>
      <c r="K507">
        <v>338</v>
      </c>
      <c r="L507">
        <v>2</v>
      </c>
      <c r="M507">
        <v>1</v>
      </c>
      <c r="N507">
        <v>2</v>
      </c>
      <c r="O507" s="2">
        <v>35.69</v>
      </c>
      <c r="P507" s="3">
        <v>1.9625999999999999</v>
      </c>
      <c r="Q507" s="4">
        <v>0.48844907407407401</v>
      </c>
      <c r="R507" s="4">
        <v>0.72916666666666663</v>
      </c>
      <c r="T507" s="13">
        <v>36.700000000000003</v>
      </c>
      <c r="U507" s="10">
        <v>36.905000000000001</v>
      </c>
      <c r="V507" s="8">
        <f t="shared" si="124"/>
        <v>0.20499999999999829</v>
      </c>
      <c r="W507" s="2" t="str">
        <f t="shared" si="123"/>
        <v>5:46:38</v>
      </c>
      <c r="X507" s="10">
        <v>0.10299999999999999</v>
      </c>
      <c r="Y507" s="12">
        <f t="shared" si="120"/>
        <v>36.802</v>
      </c>
      <c r="Z507" s="10">
        <f t="shared" si="125"/>
        <v>0.10199999999999676</v>
      </c>
      <c r="AA507" s="10">
        <f t="shared" si="122"/>
        <v>36.751000000000005</v>
      </c>
      <c r="AB507" s="10" t="s">
        <v>90</v>
      </c>
    </row>
    <row r="508" spans="1:28" ht="15" customHeight="1" x14ac:dyDescent="0.25">
      <c r="A508">
        <v>90</v>
      </c>
      <c r="B508" t="s">
        <v>54</v>
      </c>
      <c r="C508" t="s">
        <v>55</v>
      </c>
      <c r="D508" t="s">
        <v>12</v>
      </c>
      <c r="E508" t="s">
        <v>56</v>
      </c>
      <c r="F508" s="1">
        <v>44977</v>
      </c>
      <c r="G508" s="1">
        <v>45113</v>
      </c>
      <c r="H508">
        <f t="shared" si="107"/>
        <v>136</v>
      </c>
      <c r="I508" t="s">
        <v>37</v>
      </c>
      <c r="J508">
        <v>28.5</v>
      </c>
      <c r="K508">
        <v>338</v>
      </c>
      <c r="L508">
        <v>2</v>
      </c>
      <c r="M508">
        <v>1</v>
      </c>
      <c r="N508">
        <v>1</v>
      </c>
      <c r="O508" s="2">
        <v>38.72</v>
      </c>
      <c r="P508" s="3">
        <v>2.302</v>
      </c>
      <c r="Q508" s="4">
        <v>0.48844907407407401</v>
      </c>
      <c r="R508" s="4">
        <v>0.72916666666666663</v>
      </c>
      <c r="T508" s="13">
        <v>36.700000000000003</v>
      </c>
      <c r="U508" s="10">
        <v>36.905000000000001</v>
      </c>
      <c r="V508" s="8">
        <f t="shared" si="124"/>
        <v>0.20499999999999829</v>
      </c>
      <c r="W508" s="2" t="str">
        <f t="shared" si="123"/>
        <v>5:46:38</v>
      </c>
      <c r="X508" s="10">
        <v>0.10299999999999999</v>
      </c>
      <c r="Y508" s="12">
        <f t="shared" si="120"/>
        <v>36.802</v>
      </c>
      <c r="Z508" s="10">
        <f t="shared" si="125"/>
        <v>0.10199999999999676</v>
      </c>
      <c r="AA508" s="10">
        <f t="shared" si="122"/>
        <v>36.751000000000005</v>
      </c>
      <c r="AB508" s="10" t="s">
        <v>90</v>
      </c>
    </row>
    <row r="509" spans="1:28" ht="15" customHeight="1" x14ac:dyDescent="0.25">
      <c r="A509">
        <v>90</v>
      </c>
      <c r="B509" t="s">
        <v>54</v>
      </c>
      <c r="C509" t="s">
        <v>55</v>
      </c>
      <c r="D509" t="s">
        <v>12</v>
      </c>
      <c r="E509" t="s">
        <v>56</v>
      </c>
      <c r="F509" s="1">
        <v>44977</v>
      </c>
      <c r="G509" s="1">
        <v>45113</v>
      </c>
      <c r="H509">
        <f t="shared" si="107"/>
        <v>136</v>
      </c>
      <c r="I509" t="s">
        <v>36</v>
      </c>
      <c r="J509">
        <v>31.5</v>
      </c>
      <c r="K509">
        <v>356</v>
      </c>
      <c r="L509">
        <v>2</v>
      </c>
      <c r="M509">
        <v>1</v>
      </c>
      <c r="N509">
        <v>4</v>
      </c>
      <c r="O509" s="2">
        <v>36.57</v>
      </c>
      <c r="P509" s="3">
        <v>2.1737000000000002</v>
      </c>
      <c r="Q509" s="4">
        <v>0.48844907407407401</v>
      </c>
      <c r="R509" s="4">
        <v>0.72916666666666663</v>
      </c>
      <c r="T509" s="13">
        <v>36.700000000000003</v>
      </c>
      <c r="U509" s="10">
        <v>36.905000000000001</v>
      </c>
      <c r="V509" s="8">
        <f t="shared" si="124"/>
        <v>0.20499999999999829</v>
      </c>
      <c r="W509" s="2" t="str">
        <f t="shared" si="123"/>
        <v>5:46:38</v>
      </c>
      <c r="X509" s="10">
        <v>0.10299999999999999</v>
      </c>
      <c r="Y509" s="12">
        <f t="shared" si="120"/>
        <v>36.802</v>
      </c>
      <c r="Z509" s="10">
        <f t="shared" si="125"/>
        <v>0.10199999999999676</v>
      </c>
      <c r="AA509" s="10">
        <f t="shared" si="122"/>
        <v>36.751000000000005</v>
      </c>
      <c r="AB509" s="10" t="s">
        <v>90</v>
      </c>
    </row>
    <row r="510" spans="1:28" ht="15" customHeight="1" x14ac:dyDescent="0.25">
      <c r="A510">
        <v>90</v>
      </c>
      <c r="B510" t="s">
        <v>54</v>
      </c>
      <c r="C510" t="s">
        <v>55</v>
      </c>
      <c r="D510" t="s">
        <v>12</v>
      </c>
      <c r="E510" t="s">
        <v>56</v>
      </c>
      <c r="F510" s="1">
        <v>44977</v>
      </c>
      <c r="G510" s="1">
        <v>45113</v>
      </c>
      <c r="H510">
        <f t="shared" si="107"/>
        <v>136</v>
      </c>
      <c r="I510" t="s">
        <v>37</v>
      </c>
      <c r="J510">
        <v>28.5</v>
      </c>
      <c r="K510">
        <v>338</v>
      </c>
      <c r="L510">
        <v>2</v>
      </c>
      <c r="M510">
        <v>1</v>
      </c>
      <c r="N510">
        <v>4</v>
      </c>
      <c r="O510" s="2">
        <v>38.619999999999997</v>
      </c>
      <c r="P510" s="3">
        <v>2.3401999999999998</v>
      </c>
      <c r="Q510" s="4">
        <v>0.48844907407407401</v>
      </c>
      <c r="R510" s="4">
        <v>0.73055555555555562</v>
      </c>
      <c r="T510" s="13">
        <v>36.700000000000003</v>
      </c>
      <c r="U510" s="10">
        <v>36.933</v>
      </c>
      <c r="V510" s="8">
        <f t="shared" si="124"/>
        <v>0.23299999999999699</v>
      </c>
      <c r="W510" s="2" t="str">
        <f t="shared" si="123"/>
        <v>5:48:38</v>
      </c>
      <c r="X510" s="10">
        <v>0.10299999999999999</v>
      </c>
      <c r="Y510" s="12">
        <f t="shared" si="120"/>
        <v>36.83</v>
      </c>
      <c r="Z510" s="10">
        <f t="shared" si="125"/>
        <v>0.12999999999999545</v>
      </c>
      <c r="AA510" s="10">
        <f t="shared" si="122"/>
        <v>36.765000000000001</v>
      </c>
      <c r="AB510" s="10" t="s">
        <v>90</v>
      </c>
    </row>
    <row r="511" spans="1:28" ht="15" customHeight="1" x14ac:dyDescent="0.25">
      <c r="A511">
        <v>90</v>
      </c>
      <c r="B511" t="s">
        <v>54</v>
      </c>
      <c r="C511" t="s">
        <v>55</v>
      </c>
      <c r="D511" t="s">
        <v>12</v>
      </c>
      <c r="E511" t="s">
        <v>56</v>
      </c>
      <c r="F511" s="1">
        <v>44977</v>
      </c>
      <c r="G511" s="1">
        <v>45119</v>
      </c>
      <c r="H511">
        <f t="shared" si="107"/>
        <v>142</v>
      </c>
      <c r="I511" t="s">
        <v>38</v>
      </c>
      <c r="J511">
        <v>28.5</v>
      </c>
      <c r="K511">
        <v>243</v>
      </c>
      <c r="L511">
        <v>1</v>
      </c>
      <c r="M511">
        <v>5</v>
      </c>
      <c r="N511">
        <v>5</v>
      </c>
      <c r="O511" s="2">
        <v>32.700000000000003</v>
      </c>
      <c r="P511" s="3">
        <v>1.4789000000000001</v>
      </c>
      <c r="Q511" s="4">
        <v>0.50962962962962999</v>
      </c>
      <c r="R511" s="4">
        <v>0.7583333333333333</v>
      </c>
      <c r="T511" s="13"/>
      <c r="U511" s="10">
        <v>36.96</v>
      </c>
      <c r="V511" s="2"/>
      <c r="W511" s="2" t="str">
        <f t="shared" si="123"/>
        <v>5:58:08</v>
      </c>
      <c r="X511" s="10">
        <v>0.111</v>
      </c>
      <c r="Y511" s="12">
        <f t="shared" si="120"/>
        <v>36.849000000000004</v>
      </c>
      <c r="AA511" s="10">
        <f t="shared" si="122"/>
        <v>36.849000000000004</v>
      </c>
      <c r="AB511" s="10" t="s">
        <v>90</v>
      </c>
    </row>
    <row r="512" spans="1:28" ht="15" customHeight="1" x14ac:dyDescent="0.25">
      <c r="A512">
        <v>90</v>
      </c>
      <c r="B512" t="s">
        <v>54</v>
      </c>
      <c r="C512" t="s">
        <v>55</v>
      </c>
      <c r="D512" t="s">
        <v>12</v>
      </c>
      <c r="E512" t="s">
        <v>56</v>
      </c>
      <c r="F512" s="1">
        <v>44977</v>
      </c>
      <c r="G512" s="1">
        <v>45119</v>
      </c>
      <c r="H512">
        <f t="shared" si="107"/>
        <v>142</v>
      </c>
      <c r="I512" t="s">
        <v>38</v>
      </c>
      <c r="J512">
        <v>28.5</v>
      </c>
      <c r="K512">
        <v>243</v>
      </c>
      <c r="L512">
        <v>1</v>
      </c>
      <c r="M512">
        <v>5</v>
      </c>
      <c r="N512">
        <v>1</v>
      </c>
      <c r="O512" s="2">
        <v>33.549999999999997</v>
      </c>
      <c r="P512" s="3">
        <v>1.4830000000000001</v>
      </c>
      <c r="Q512" s="4">
        <v>0.50962962962962999</v>
      </c>
      <c r="R512" s="4">
        <v>0.7583333333333333</v>
      </c>
      <c r="T512" s="13"/>
      <c r="U512" s="10">
        <v>36.96</v>
      </c>
      <c r="V512" s="2"/>
      <c r="W512" s="2" t="str">
        <f t="shared" si="123"/>
        <v>5:58:08</v>
      </c>
      <c r="X512" s="10">
        <v>0.111</v>
      </c>
      <c r="Y512" s="12">
        <f t="shared" si="120"/>
        <v>36.849000000000004</v>
      </c>
      <c r="AA512" s="10">
        <f t="shared" si="122"/>
        <v>36.849000000000004</v>
      </c>
      <c r="AB512" s="10" t="s">
        <v>90</v>
      </c>
    </row>
    <row r="513" spans="1:28" ht="15" customHeight="1" x14ac:dyDescent="0.25">
      <c r="A513">
        <v>90</v>
      </c>
      <c r="B513" t="s">
        <v>54</v>
      </c>
      <c r="C513" t="s">
        <v>55</v>
      </c>
      <c r="D513" t="s">
        <v>12</v>
      </c>
      <c r="E513" t="s">
        <v>56</v>
      </c>
      <c r="F513" s="1">
        <v>44977</v>
      </c>
      <c r="G513" s="1">
        <v>45113</v>
      </c>
      <c r="H513">
        <f t="shared" si="107"/>
        <v>136</v>
      </c>
      <c r="J513">
        <v>30</v>
      </c>
      <c r="K513">
        <v>252</v>
      </c>
      <c r="L513">
        <v>1</v>
      </c>
      <c r="O513" s="2">
        <v>30.55</v>
      </c>
      <c r="P513" s="3">
        <v>0.96020000000000005</v>
      </c>
      <c r="Q513" s="4">
        <v>0.48844907407407401</v>
      </c>
      <c r="R513" s="4">
        <v>0.72986111111111107</v>
      </c>
      <c r="S513" s="2"/>
      <c r="T513" s="13"/>
      <c r="V513" s="10"/>
      <c r="W513" s="2" t="str">
        <f t="shared" si="123"/>
        <v>5:47:38</v>
      </c>
      <c r="Y513" s="12"/>
      <c r="AA513" s="10">
        <v>36.85</v>
      </c>
      <c r="AB513" s="10" t="s">
        <v>91</v>
      </c>
    </row>
    <row r="514" spans="1:28" ht="15" customHeight="1" x14ac:dyDescent="0.25">
      <c r="A514">
        <v>90</v>
      </c>
      <c r="B514" t="s">
        <v>54</v>
      </c>
      <c r="C514" t="s">
        <v>55</v>
      </c>
      <c r="D514" t="s">
        <v>12</v>
      </c>
      <c r="E514" t="s">
        <v>56</v>
      </c>
      <c r="F514" s="1">
        <v>44977</v>
      </c>
      <c r="G514" s="1">
        <v>45113</v>
      </c>
      <c r="H514">
        <f t="shared" ref="H514:H577" si="126">G514-F514</f>
        <v>136</v>
      </c>
      <c r="I514" t="s">
        <v>37</v>
      </c>
      <c r="J514">
        <v>28.5</v>
      </c>
      <c r="K514">
        <v>338</v>
      </c>
      <c r="L514">
        <v>2</v>
      </c>
      <c r="M514">
        <v>1</v>
      </c>
      <c r="N514">
        <v>3</v>
      </c>
      <c r="O514" s="2">
        <v>36.42</v>
      </c>
      <c r="P514" s="3">
        <v>1.9799</v>
      </c>
      <c r="Q514" s="4">
        <v>0.48844907407407401</v>
      </c>
      <c r="R514" s="4">
        <v>0.73333333333333339</v>
      </c>
      <c r="T514" s="13">
        <v>36.799999999999997</v>
      </c>
      <c r="U514" s="10">
        <v>37.015000000000001</v>
      </c>
      <c r="V514" s="8">
        <f>U514-T514</f>
        <v>0.21500000000000341</v>
      </c>
      <c r="W514" s="2" t="str">
        <f t="shared" si="123"/>
        <v>5:52:38</v>
      </c>
      <c r="X514" s="10">
        <v>0.10299999999999999</v>
      </c>
      <c r="Y514" s="12">
        <f>U514-X514</f>
        <v>36.911999999999999</v>
      </c>
      <c r="Z514" s="10">
        <f>Y514-T514</f>
        <v>0.11200000000000188</v>
      </c>
      <c r="AA514" s="10">
        <f>AVERAGE(Y514,T514)</f>
        <v>36.855999999999995</v>
      </c>
      <c r="AB514" s="10" t="s">
        <v>90</v>
      </c>
    </row>
    <row r="515" spans="1:28" x14ac:dyDescent="0.25">
      <c r="A515">
        <v>90</v>
      </c>
      <c r="B515" t="s">
        <v>54</v>
      </c>
      <c r="C515" t="s">
        <v>55</v>
      </c>
      <c r="D515" t="s">
        <v>12</v>
      </c>
      <c r="E515" t="s">
        <v>56</v>
      </c>
      <c r="F515" s="1">
        <v>44977</v>
      </c>
      <c r="G515" s="1">
        <v>45113</v>
      </c>
      <c r="H515">
        <f t="shared" si="126"/>
        <v>136</v>
      </c>
      <c r="I515" t="s">
        <v>37</v>
      </c>
      <c r="J515">
        <v>28.5</v>
      </c>
      <c r="K515">
        <v>338</v>
      </c>
      <c r="L515">
        <v>2</v>
      </c>
      <c r="M515">
        <v>1</v>
      </c>
      <c r="N515">
        <v>5</v>
      </c>
      <c r="O515" s="2">
        <v>41.26</v>
      </c>
      <c r="P515" s="3">
        <v>3.1059999999999999</v>
      </c>
      <c r="Q515" s="4">
        <v>0.48844907407407401</v>
      </c>
      <c r="R515" s="4">
        <v>0.73125000000000007</v>
      </c>
      <c r="T515" s="13"/>
      <c r="U515" s="10">
        <v>36.96</v>
      </c>
      <c r="V515" s="2"/>
      <c r="W515" s="2" t="str">
        <f t="shared" si="123"/>
        <v>5:49:38</v>
      </c>
      <c r="X515" s="10">
        <v>0.10299999999999999</v>
      </c>
      <c r="Y515" s="12">
        <f>U515-X515</f>
        <v>36.856999999999999</v>
      </c>
      <c r="AA515" s="10">
        <f>AVERAGE(Y515,T515)</f>
        <v>36.856999999999999</v>
      </c>
      <c r="AB515" s="10" t="s">
        <v>90</v>
      </c>
    </row>
    <row r="516" spans="1:28" x14ac:dyDescent="0.25">
      <c r="A516">
        <v>90</v>
      </c>
      <c r="B516" t="s">
        <v>54</v>
      </c>
      <c r="C516" t="s">
        <v>55</v>
      </c>
      <c r="D516" t="s">
        <v>12</v>
      </c>
      <c r="E516" t="s">
        <v>56</v>
      </c>
      <c r="F516" s="1">
        <v>44977</v>
      </c>
      <c r="G516" s="1">
        <v>45113</v>
      </c>
      <c r="H516">
        <f t="shared" si="126"/>
        <v>136</v>
      </c>
      <c r="J516">
        <v>30</v>
      </c>
      <c r="K516">
        <v>252</v>
      </c>
      <c r="L516">
        <v>1</v>
      </c>
      <c r="O516" s="2">
        <v>34.54</v>
      </c>
      <c r="P516" s="3">
        <v>1.7622</v>
      </c>
      <c r="Q516" s="4">
        <v>0.48844907407407401</v>
      </c>
      <c r="R516" s="4">
        <v>0.73055555555555562</v>
      </c>
      <c r="S516" s="2"/>
      <c r="T516" s="13"/>
      <c r="V516" s="10"/>
      <c r="W516" s="2" t="str">
        <f t="shared" si="123"/>
        <v>5:48:38</v>
      </c>
      <c r="Y516" s="12"/>
      <c r="AA516" s="10">
        <v>36.909999999999997</v>
      </c>
      <c r="AB516" s="10" t="s">
        <v>91</v>
      </c>
    </row>
    <row r="517" spans="1:28" x14ac:dyDescent="0.25">
      <c r="A517">
        <v>90</v>
      </c>
      <c r="B517" t="s">
        <v>54</v>
      </c>
      <c r="C517" t="s">
        <v>55</v>
      </c>
      <c r="D517" t="s">
        <v>12</v>
      </c>
      <c r="E517" t="s">
        <v>56</v>
      </c>
      <c r="F517" s="1">
        <v>44977</v>
      </c>
      <c r="G517" s="1">
        <v>45113</v>
      </c>
      <c r="H517">
        <f t="shared" si="126"/>
        <v>136</v>
      </c>
      <c r="I517" t="s">
        <v>38</v>
      </c>
      <c r="J517">
        <v>30</v>
      </c>
      <c r="K517">
        <v>332</v>
      </c>
      <c r="L517">
        <v>2</v>
      </c>
      <c r="M517">
        <v>1</v>
      </c>
      <c r="N517">
        <v>5</v>
      </c>
      <c r="O517" s="2">
        <v>31.15</v>
      </c>
      <c r="P517" s="3">
        <v>1.2593000000000001</v>
      </c>
      <c r="Q517" s="4">
        <v>0.48844907407407401</v>
      </c>
      <c r="R517" s="4">
        <v>0.73611111111111116</v>
      </c>
      <c r="T517" s="13">
        <v>36.9</v>
      </c>
      <c r="U517" s="10">
        <v>37.095999999999997</v>
      </c>
      <c r="V517" s="8">
        <f t="shared" ref="V517:V522" si="127">U517-T517</f>
        <v>0.19599999999999795</v>
      </c>
      <c r="W517" s="2" t="str">
        <f t="shared" si="123"/>
        <v>5:56:38</v>
      </c>
      <c r="X517" s="10">
        <v>0.10299999999999999</v>
      </c>
      <c r="Y517" s="12">
        <f t="shared" ref="Y517:Y522" si="128">U517-X517</f>
        <v>36.992999999999995</v>
      </c>
      <c r="Z517" s="10">
        <f t="shared" ref="Z517:Z522" si="129">Y517-T517</f>
        <v>9.2999999999996419E-2</v>
      </c>
      <c r="AA517" s="10">
        <f t="shared" ref="AA517:AA522" si="130">AVERAGE(Y517,T517)</f>
        <v>36.9465</v>
      </c>
      <c r="AB517" s="10" t="s">
        <v>90</v>
      </c>
    </row>
    <row r="518" spans="1:28" x14ac:dyDescent="0.25">
      <c r="A518">
        <v>90</v>
      </c>
      <c r="B518" t="s">
        <v>54</v>
      </c>
      <c r="C518" t="s">
        <v>55</v>
      </c>
      <c r="D518" t="s">
        <v>12</v>
      </c>
      <c r="E518" t="s">
        <v>56</v>
      </c>
      <c r="F518" s="1">
        <v>44977</v>
      </c>
      <c r="G518" s="1">
        <v>45113</v>
      </c>
      <c r="H518">
        <f t="shared" si="126"/>
        <v>136</v>
      </c>
      <c r="I518" t="s">
        <v>38</v>
      </c>
      <c r="J518">
        <v>30</v>
      </c>
      <c r="K518">
        <v>332</v>
      </c>
      <c r="L518">
        <v>2</v>
      </c>
      <c r="M518">
        <v>1</v>
      </c>
      <c r="N518">
        <v>3</v>
      </c>
      <c r="O518" s="2">
        <v>33.159999999999997</v>
      </c>
      <c r="P518" s="3">
        <v>1.4847999999999999</v>
      </c>
      <c r="Q518" s="4">
        <v>0.48844907407407401</v>
      </c>
      <c r="R518" s="4">
        <v>0.73611111111111116</v>
      </c>
      <c r="T518" s="13">
        <v>36.9</v>
      </c>
      <c r="U518" s="10">
        <v>37.095999999999997</v>
      </c>
      <c r="V518" s="8">
        <f t="shared" si="127"/>
        <v>0.19599999999999795</v>
      </c>
      <c r="W518" s="2" t="str">
        <f t="shared" si="123"/>
        <v>5:56:38</v>
      </c>
      <c r="X518" s="10">
        <v>0.10299999999999999</v>
      </c>
      <c r="Y518" s="12">
        <f t="shared" si="128"/>
        <v>36.992999999999995</v>
      </c>
      <c r="Z518" s="10">
        <f t="shared" si="129"/>
        <v>9.2999999999996419E-2</v>
      </c>
      <c r="AA518" s="10">
        <f t="shared" si="130"/>
        <v>36.9465</v>
      </c>
      <c r="AB518" s="10" t="s">
        <v>90</v>
      </c>
    </row>
    <row r="519" spans="1:28" x14ac:dyDescent="0.25">
      <c r="A519">
        <v>90</v>
      </c>
      <c r="B519" t="s">
        <v>54</v>
      </c>
      <c r="C519" t="s">
        <v>55</v>
      </c>
      <c r="D519" t="s">
        <v>12</v>
      </c>
      <c r="E519" t="s">
        <v>56</v>
      </c>
      <c r="F519" s="1">
        <v>44977</v>
      </c>
      <c r="G519" s="1">
        <v>45113</v>
      </c>
      <c r="H519">
        <f t="shared" si="126"/>
        <v>136</v>
      </c>
      <c r="I519" t="s">
        <v>38</v>
      </c>
      <c r="J519">
        <v>30</v>
      </c>
      <c r="K519">
        <v>332</v>
      </c>
      <c r="L519">
        <v>2</v>
      </c>
      <c r="M519">
        <v>1</v>
      </c>
      <c r="N519">
        <v>4</v>
      </c>
      <c r="O519" s="2">
        <v>35.28</v>
      </c>
      <c r="P519" s="3">
        <v>2.0047000000000001</v>
      </c>
      <c r="Q519" s="4">
        <v>0.48844907407407401</v>
      </c>
      <c r="R519" s="4">
        <v>0.73749999999999993</v>
      </c>
      <c r="T519" s="13">
        <v>36.9</v>
      </c>
      <c r="U519" s="10">
        <v>37.124000000000002</v>
      </c>
      <c r="V519" s="8">
        <f t="shared" si="127"/>
        <v>0.22400000000000375</v>
      </c>
      <c r="W519" s="2" t="str">
        <f t="shared" si="123"/>
        <v>5:58:38</v>
      </c>
      <c r="X519" s="10">
        <v>0.10299999999999999</v>
      </c>
      <c r="Y519" s="12">
        <f t="shared" si="128"/>
        <v>37.021000000000001</v>
      </c>
      <c r="Z519" s="10">
        <f t="shared" si="129"/>
        <v>0.12100000000000222</v>
      </c>
      <c r="AA519" s="10">
        <f t="shared" si="130"/>
        <v>36.960499999999996</v>
      </c>
      <c r="AB519" s="10" t="s">
        <v>90</v>
      </c>
    </row>
    <row r="520" spans="1:28" x14ac:dyDescent="0.25">
      <c r="A520">
        <v>90</v>
      </c>
      <c r="B520" t="s">
        <v>54</v>
      </c>
      <c r="C520" t="s">
        <v>55</v>
      </c>
      <c r="D520" t="s">
        <v>12</v>
      </c>
      <c r="E520" t="s">
        <v>56</v>
      </c>
      <c r="F520" s="1">
        <v>44977</v>
      </c>
      <c r="G520" s="1">
        <v>45119</v>
      </c>
      <c r="H520">
        <f t="shared" si="126"/>
        <v>142</v>
      </c>
      <c r="I520" t="s">
        <v>37</v>
      </c>
      <c r="J520">
        <v>30</v>
      </c>
      <c r="K520">
        <v>252</v>
      </c>
      <c r="L520">
        <v>1</v>
      </c>
      <c r="M520">
        <v>5</v>
      </c>
      <c r="N520">
        <v>1</v>
      </c>
      <c r="O520" s="2">
        <v>31.66</v>
      </c>
      <c r="P520" s="3">
        <v>1.3145</v>
      </c>
      <c r="Q520" s="4">
        <v>0.50962962962962999</v>
      </c>
      <c r="R520" s="4">
        <v>0.76458333333333339</v>
      </c>
      <c r="T520" s="13">
        <v>37</v>
      </c>
      <c r="U520" s="10">
        <v>37.124000000000002</v>
      </c>
      <c r="V520" s="2">
        <f t="shared" si="127"/>
        <v>0.12400000000000233</v>
      </c>
      <c r="W520" s="2" t="str">
        <f t="shared" si="123"/>
        <v>6:07:08</v>
      </c>
      <c r="X520" s="10">
        <v>0.111</v>
      </c>
      <c r="Y520" s="12">
        <f t="shared" si="128"/>
        <v>37.013000000000005</v>
      </c>
      <c r="Z520" s="10">
        <f t="shared" si="129"/>
        <v>1.300000000000523E-2</v>
      </c>
      <c r="AA520" s="10">
        <f t="shared" si="130"/>
        <v>37.006500000000003</v>
      </c>
      <c r="AB520" s="10" t="s">
        <v>90</v>
      </c>
    </row>
    <row r="521" spans="1:28" x14ac:dyDescent="0.25">
      <c r="A521">
        <v>90</v>
      </c>
      <c r="B521" t="s">
        <v>54</v>
      </c>
      <c r="C521" t="s">
        <v>55</v>
      </c>
      <c r="D521" t="s">
        <v>12</v>
      </c>
      <c r="E521" t="s">
        <v>56</v>
      </c>
      <c r="F521" s="1">
        <v>44977</v>
      </c>
      <c r="G521" s="1">
        <v>45119</v>
      </c>
      <c r="H521">
        <f t="shared" si="126"/>
        <v>142</v>
      </c>
      <c r="I521" t="s">
        <v>37</v>
      </c>
      <c r="J521">
        <v>30</v>
      </c>
      <c r="K521">
        <v>252</v>
      </c>
      <c r="L521">
        <v>1</v>
      </c>
      <c r="M521">
        <v>5</v>
      </c>
      <c r="N521">
        <v>5</v>
      </c>
      <c r="O521" s="2">
        <v>31.65</v>
      </c>
      <c r="P521" s="3">
        <v>1.4231</v>
      </c>
      <c r="Q521" s="4">
        <v>0.50962962962962999</v>
      </c>
      <c r="R521" s="4">
        <v>0.76458333333333339</v>
      </c>
      <c r="T521" s="13">
        <v>37</v>
      </c>
      <c r="U521" s="10">
        <v>37.124000000000002</v>
      </c>
      <c r="V521" s="2">
        <f t="shared" si="127"/>
        <v>0.12400000000000233</v>
      </c>
      <c r="W521" s="2" t="str">
        <f t="shared" si="123"/>
        <v>6:07:08</v>
      </c>
      <c r="X521" s="10">
        <v>0.111</v>
      </c>
      <c r="Y521" s="12">
        <f t="shared" si="128"/>
        <v>37.013000000000005</v>
      </c>
      <c r="Z521" s="10">
        <f t="shared" si="129"/>
        <v>1.300000000000523E-2</v>
      </c>
      <c r="AA521" s="10">
        <f t="shared" si="130"/>
        <v>37.006500000000003</v>
      </c>
      <c r="AB521" s="10" t="s">
        <v>90</v>
      </c>
    </row>
    <row r="522" spans="1:28" x14ac:dyDescent="0.25">
      <c r="A522">
        <v>90</v>
      </c>
      <c r="B522" t="s">
        <v>54</v>
      </c>
      <c r="C522" t="s">
        <v>55</v>
      </c>
      <c r="D522" t="s">
        <v>12</v>
      </c>
      <c r="E522" t="s">
        <v>56</v>
      </c>
      <c r="F522" s="1">
        <v>44977</v>
      </c>
      <c r="G522" s="1">
        <v>45119</v>
      </c>
      <c r="H522">
        <f t="shared" si="126"/>
        <v>142</v>
      </c>
      <c r="I522" t="s">
        <v>37</v>
      </c>
      <c r="J522">
        <v>30</v>
      </c>
      <c r="K522">
        <v>252</v>
      </c>
      <c r="L522">
        <v>1</v>
      </c>
      <c r="M522">
        <v>5</v>
      </c>
      <c r="N522">
        <v>2</v>
      </c>
      <c r="O522" s="2">
        <v>33.61</v>
      </c>
      <c r="P522" s="3">
        <v>1.7434000000000001</v>
      </c>
      <c r="Q522" s="4">
        <v>0.50962962962962999</v>
      </c>
      <c r="R522" s="4">
        <v>0.76458333333333339</v>
      </c>
      <c r="T522" s="13">
        <v>37</v>
      </c>
      <c r="U522" s="10">
        <v>37.124000000000002</v>
      </c>
      <c r="V522" s="2">
        <f t="shared" si="127"/>
        <v>0.12400000000000233</v>
      </c>
      <c r="W522" s="2" t="str">
        <f t="shared" si="123"/>
        <v>6:07:08</v>
      </c>
      <c r="X522" s="10">
        <v>0.111</v>
      </c>
      <c r="Y522" s="12">
        <f t="shared" si="128"/>
        <v>37.013000000000005</v>
      </c>
      <c r="Z522" s="10">
        <f t="shared" si="129"/>
        <v>1.300000000000523E-2</v>
      </c>
      <c r="AA522" s="10">
        <f t="shared" si="130"/>
        <v>37.006500000000003</v>
      </c>
      <c r="AB522" s="10" t="s">
        <v>90</v>
      </c>
    </row>
    <row r="523" spans="1:28" x14ac:dyDescent="0.25">
      <c r="A523">
        <v>90</v>
      </c>
      <c r="B523" t="s">
        <v>54</v>
      </c>
      <c r="C523" t="s">
        <v>55</v>
      </c>
      <c r="D523" t="s">
        <v>12</v>
      </c>
      <c r="E523" t="s">
        <v>56</v>
      </c>
      <c r="F523" s="1">
        <v>44977</v>
      </c>
      <c r="G523" s="1">
        <v>45112</v>
      </c>
      <c r="H523">
        <f t="shared" si="126"/>
        <v>135</v>
      </c>
      <c r="J523">
        <v>28.5</v>
      </c>
      <c r="K523">
        <v>338</v>
      </c>
      <c r="L523">
        <v>2</v>
      </c>
      <c r="O523" s="2">
        <v>39.200000000000003</v>
      </c>
      <c r="P523" s="3">
        <v>2.1789999999999998</v>
      </c>
      <c r="Q523" s="4">
        <v>0.54166666666666696</v>
      </c>
      <c r="R523" s="4">
        <v>0.79652777777777783</v>
      </c>
      <c r="S523" s="2"/>
      <c r="T523" s="13"/>
      <c r="V523" s="10"/>
      <c r="W523" s="2" t="str">
        <f t="shared" si="123"/>
        <v>6:07:00</v>
      </c>
      <c r="Y523" s="12"/>
      <c r="AA523" s="10">
        <v>37.020000000000003</v>
      </c>
      <c r="AB523" s="10" t="s">
        <v>91</v>
      </c>
    </row>
    <row r="524" spans="1:28" x14ac:dyDescent="0.25">
      <c r="A524">
        <v>90</v>
      </c>
      <c r="B524" t="s">
        <v>54</v>
      </c>
      <c r="C524" t="s">
        <v>55</v>
      </c>
      <c r="D524" t="s">
        <v>12</v>
      </c>
      <c r="E524" t="s">
        <v>56</v>
      </c>
      <c r="F524" s="1">
        <v>44977</v>
      </c>
      <c r="G524" s="1">
        <v>45112</v>
      </c>
      <c r="H524">
        <f t="shared" si="126"/>
        <v>135</v>
      </c>
      <c r="J524">
        <v>28.5</v>
      </c>
      <c r="K524">
        <v>338</v>
      </c>
      <c r="L524">
        <v>2</v>
      </c>
      <c r="O524" s="2">
        <v>40.67</v>
      </c>
      <c r="P524" s="3">
        <v>2.6635</v>
      </c>
      <c r="Q524" s="4">
        <v>0.54166666666666696</v>
      </c>
      <c r="R524" s="4">
        <v>0.79652777777777783</v>
      </c>
      <c r="S524" s="2"/>
      <c r="T524" s="13"/>
      <c r="V524" s="10"/>
      <c r="W524" s="2" t="str">
        <f t="shared" si="123"/>
        <v>6:07:00</v>
      </c>
      <c r="Y524" s="12"/>
      <c r="AA524" s="10">
        <v>37.020000000000003</v>
      </c>
      <c r="AB524" s="10" t="s">
        <v>91</v>
      </c>
    </row>
    <row r="525" spans="1:28" x14ac:dyDescent="0.25">
      <c r="A525">
        <v>90</v>
      </c>
      <c r="B525" t="s">
        <v>54</v>
      </c>
      <c r="C525" t="s">
        <v>55</v>
      </c>
      <c r="D525" t="s">
        <v>12</v>
      </c>
      <c r="E525" t="s">
        <v>56</v>
      </c>
      <c r="F525" s="1">
        <v>44977</v>
      </c>
      <c r="G525" s="1">
        <v>45113</v>
      </c>
      <c r="H525">
        <f t="shared" si="126"/>
        <v>136</v>
      </c>
      <c r="I525" t="s">
        <v>38</v>
      </c>
      <c r="J525">
        <v>30</v>
      </c>
      <c r="K525">
        <v>332</v>
      </c>
      <c r="L525">
        <v>2</v>
      </c>
      <c r="M525">
        <v>1</v>
      </c>
      <c r="N525">
        <v>2</v>
      </c>
      <c r="O525" s="2">
        <v>35.69</v>
      </c>
      <c r="P525" s="3">
        <v>1.9348000000000001</v>
      </c>
      <c r="Q525" s="4">
        <v>0.48844907407407406</v>
      </c>
      <c r="R525" s="4">
        <v>0.74097222222222225</v>
      </c>
      <c r="T525" s="13">
        <v>37</v>
      </c>
      <c r="U525" s="10">
        <v>37.151000000000003</v>
      </c>
      <c r="V525" s="8">
        <f>U525-T525</f>
        <v>0.15100000000000335</v>
      </c>
      <c r="W525" s="2" t="str">
        <f t="shared" si="123"/>
        <v>6:03:38</v>
      </c>
      <c r="X525" s="10">
        <v>0.10299999999999999</v>
      </c>
      <c r="Y525" s="12">
        <f>U525-X525</f>
        <v>37.048000000000002</v>
      </c>
      <c r="Z525" s="10">
        <f>Y525-T525</f>
        <v>4.8000000000001819E-2</v>
      </c>
      <c r="AA525" s="10">
        <f>AVERAGE(Y525,T525)</f>
        <v>37.024000000000001</v>
      </c>
      <c r="AB525" s="10" t="s">
        <v>90</v>
      </c>
    </row>
    <row r="526" spans="1:28" x14ac:dyDescent="0.25">
      <c r="A526">
        <v>90</v>
      </c>
      <c r="B526" t="s">
        <v>54</v>
      </c>
      <c r="C526" t="s">
        <v>55</v>
      </c>
      <c r="D526" t="s">
        <v>12</v>
      </c>
      <c r="E526" t="s">
        <v>56</v>
      </c>
      <c r="F526" s="1">
        <v>44977</v>
      </c>
      <c r="G526" s="1">
        <v>45113</v>
      </c>
      <c r="H526">
        <f t="shared" si="126"/>
        <v>136</v>
      </c>
      <c r="I526" t="s">
        <v>38</v>
      </c>
      <c r="J526">
        <v>30</v>
      </c>
      <c r="K526">
        <v>332</v>
      </c>
      <c r="L526">
        <v>2</v>
      </c>
      <c r="M526">
        <v>1</v>
      </c>
      <c r="N526">
        <v>1</v>
      </c>
      <c r="O526" s="2">
        <v>39.65</v>
      </c>
      <c r="P526" s="3">
        <v>2.7827000000000002</v>
      </c>
      <c r="Q526" s="4">
        <v>0.48844907407407406</v>
      </c>
      <c r="R526" s="4">
        <v>0.74097222222222225</v>
      </c>
      <c r="T526" s="13">
        <v>37</v>
      </c>
      <c r="U526" s="10">
        <v>37.151000000000003</v>
      </c>
      <c r="V526" s="8">
        <f>U526-T526</f>
        <v>0.15100000000000335</v>
      </c>
      <c r="W526" s="2" t="str">
        <f t="shared" si="123"/>
        <v>6:03:38</v>
      </c>
      <c r="X526" s="10">
        <v>0.10299999999999999</v>
      </c>
      <c r="Y526" s="12">
        <f>U526-X526</f>
        <v>37.048000000000002</v>
      </c>
      <c r="Z526" s="10">
        <f>Y526-T526</f>
        <v>4.8000000000001819E-2</v>
      </c>
      <c r="AA526" s="10">
        <f>AVERAGE(Y526,T526)</f>
        <v>37.024000000000001</v>
      </c>
      <c r="AB526" s="10" t="s">
        <v>90</v>
      </c>
    </row>
    <row r="527" spans="1:28" x14ac:dyDescent="0.25">
      <c r="A527">
        <v>90</v>
      </c>
      <c r="B527" t="s">
        <v>54</v>
      </c>
      <c r="C527" t="s">
        <v>55</v>
      </c>
      <c r="D527" t="s">
        <v>12</v>
      </c>
      <c r="E527" t="s">
        <v>56</v>
      </c>
      <c r="F527" s="1">
        <v>44977</v>
      </c>
      <c r="G527" s="1">
        <v>45113</v>
      </c>
      <c r="H527">
        <f t="shared" si="126"/>
        <v>136</v>
      </c>
      <c r="J527">
        <v>31.5</v>
      </c>
      <c r="K527">
        <v>255</v>
      </c>
      <c r="L527">
        <v>1</v>
      </c>
      <c r="O527" s="2">
        <v>30.24</v>
      </c>
      <c r="P527" s="3">
        <v>1.1669</v>
      </c>
      <c r="Q527" s="4">
        <v>0.48844907407407401</v>
      </c>
      <c r="R527" s="4">
        <v>0.74861111111111101</v>
      </c>
      <c r="S527" s="2"/>
      <c r="T527" s="13"/>
      <c r="V527" s="10"/>
      <c r="W527" s="2" t="str">
        <f t="shared" si="123"/>
        <v>6:14:38</v>
      </c>
      <c r="Y527" s="12"/>
      <c r="AA527" s="10">
        <v>37.090000000000003</v>
      </c>
      <c r="AB527" s="10" t="s">
        <v>91</v>
      </c>
    </row>
    <row r="528" spans="1:28" x14ac:dyDescent="0.25">
      <c r="A528">
        <v>90</v>
      </c>
      <c r="B528" t="s">
        <v>54</v>
      </c>
      <c r="C528" t="s">
        <v>55</v>
      </c>
      <c r="D528" t="s">
        <v>12</v>
      </c>
      <c r="E528" t="s">
        <v>56</v>
      </c>
      <c r="F528" s="1">
        <v>44977</v>
      </c>
      <c r="G528" s="1">
        <v>45113</v>
      </c>
      <c r="H528">
        <f t="shared" si="126"/>
        <v>136</v>
      </c>
      <c r="I528" t="s">
        <v>36</v>
      </c>
      <c r="J528">
        <v>31.5</v>
      </c>
      <c r="K528">
        <v>356</v>
      </c>
      <c r="L528">
        <v>2</v>
      </c>
      <c r="M528">
        <v>1</v>
      </c>
      <c r="N528">
        <v>5</v>
      </c>
      <c r="O528" s="2">
        <v>32.590000000000003</v>
      </c>
      <c r="P528" s="3">
        <v>1.5827</v>
      </c>
      <c r="Q528" s="4">
        <v>0.48844907407407401</v>
      </c>
      <c r="R528" s="4">
        <v>0.74652777777777779</v>
      </c>
      <c r="T528" s="13">
        <v>37.1</v>
      </c>
      <c r="U528" s="10">
        <v>37.287999999999997</v>
      </c>
      <c r="V528" s="8">
        <f>U528-T528</f>
        <v>0.18799999999999528</v>
      </c>
      <c r="W528" s="2" t="str">
        <f t="shared" si="123"/>
        <v>6:11:38</v>
      </c>
      <c r="X528" s="10">
        <v>0.10299999999999999</v>
      </c>
      <c r="Y528" s="12">
        <f>U528-X528</f>
        <v>37.184999999999995</v>
      </c>
      <c r="Z528" s="10">
        <f>Y528-T528</f>
        <v>8.4999999999993747E-2</v>
      </c>
      <c r="AA528" s="10">
        <f>AVERAGE(Y528,T528)</f>
        <v>37.142499999999998</v>
      </c>
      <c r="AB528" s="10" t="s">
        <v>90</v>
      </c>
    </row>
    <row r="529" spans="1:28" x14ac:dyDescent="0.25">
      <c r="A529">
        <v>90</v>
      </c>
      <c r="B529" t="s">
        <v>54</v>
      </c>
      <c r="C529" t="s">
        <v>55</v>
      </c>
      <c r="D529" t="s">
        <v>12</v>
      </c>
      <c r="E529" t="s">
        <v>56</v>
      </c>
      <c r="F529" s="1">
        <v>44977</v>
      </c>
      <c r="G529" s="1">
        <v>45113</v>
      </c>
      <c r="H529">
        <f t="shared" si="126"/>
        <v>136</v>
      </c>
      <c r="J529">
        <v>31.5</v>
      </c>
      <c r="K529">
        <v>255</v>
      </c>
      <c r="L529">
        <v>1</v>
      </c>
      <c r="O529" s="2">
        <v>30.53</v>
      </c>
      <c r="P529" s="3">
        <v>1.2124999999999999</v>
      </c>
      <c r="Q529" s="4">
        <v>0.48844907407407401</v>
      </c>
      <c r="R529" s="4">
        <v>0.74444444444444446</v>
      </c>
      <c r="S529" s="2"/>
      <c r="T529" s="13"/>
      <c r="V529" s="10"/>
      <c r="W529" s="2" t="str">
        <f t="shared" si="123"/>
        <v>6:08:38</v>
      </c>
      <c r="Y529" s="12"/>
      <c r="AA529" s="10">
        <v>37.159999999999997</v>
      </c>
      <c r="AB529" s="10" t="s">
        <v>91</v>
      </c>
    </row>
    <row r="530" spans="1:28" x14ac:dyDescent="0.25">
      <c r="A530">
        <v>90</v>
      </c>
      <c r="B530" t="s">
        <v>54</v>
      </c>
      <c r="C530" t="s">
        <v>55</v>
      </c>
      <c r="D530" t="s">
        <v>12</v>
      </c>
      <c r="E530" t="s">
        <v>56</v>
      </c>
      <c r="F530" s="1">
        <v>44977</v>
      </c>
      <c r="G530" s="1">
        <v>45119</v>
      </c>
      <c r="H530">
        <f t="shared" si="126"/>
        <v>142</v>
      </c>
      <c r="I530" t="s">
        <v>36</v>
      </c>
      <c r="J530">
        <v>31.5</v>
      </c>
      <c r="K530">
        <v>255</v>
      </c>
      <c r="L530">
        <v>1</v>
      </c>
      <c r="M530">
        <v>5</v>
      </c>
      <c r="N530">
        <v>3</v>
      </c>
      <c r="O530" s="2">
        <v>36.42</v>
      </c>
      <c r="P530" s="3">
        <v>2.2927</v>
      </c>
      <c r="Q530" s="4">
        <v>0.50962962962962999</v>
      </c>
      <c r="R530" s="4">
        <v>0.76944444444444438</v>
      </c>
      <c r="T530" s="13">
        <v>37.25</v>
      </c>
      <c r="U530" s="10">
        <v>37.232999999999997</v>
      </c>
      <c r="V530" s="2">
        <f t="shared" ref="V530:V539" si="131">U530-T530</f>
        <v>-1.7000000000003013E-2</v>
      </c>
      <c r="W530" s="2" t="str">
        <f t="shared" si="123"/>
        <v>6:14:08</v>
      </c>
      <c r="X530" s="10">
        <v>0.111</v>
      </c>
      <c r="Y530" s="12">
        <f t="shared" ref="Y530:Y539" si="132">U530-X530</f>
        <v>37.122</v>
      </c>
      <c r="Z530" s="10">
        <f t="shared" ref="Z530:Z539" si="133">Y530-T530</f>
        <v>-0.12800000000000011</v>
      </c>
      <c r="AA530" s="10">
        <f t="shared" ref="AA530:AA539" si="134">AVERAGE(Y530,T530)</f>
        <v>37.186</v>
      </c>
      <c r="AB530" s="10" t="s">
        <v>90</v>
      </c>
    </row>
    <row r="531" spans="1:28" ht="15" customHeight="1" x14ac:dyDescent="0.25">
      <c r="A531">
        <v>90</v>
      </c>
      <c r="B531" t="s">
        <v>54</v>
      </c>
      <c r="C531" t="s">
        <v>55</v>
      </c>
      <c r="D531" t="s">
        <v>12</v>
      </c>
      <c r="E531" t="s">
        <v>56</v>
      </c>
      <c r="F531" s="1">
        <v>44977</v>
      </c>
      <c r="G531" s="1">
        <v>45119</v>
      </c>
      <c r="H531">
        <f t="shared" si="126"/>
        <v>142</v>
      </c>
      <c r="I531" t="s">
        <v>36</v>
      </c>
      <c r="J531">
        <v>31.5</v>
      </c>
      <c r="K531">
        <v>255</v>
      </c>
      <c r="L531">
        <v>1</v>
      </c>
      <c r="M531">
        <v>5</v>
      </c>
      <c r="N531">
        <v>4</v>
      </c>
      <c r="O531" s="2">
        <v>29.86</v>
      </c>
      <c r="P531" s="3">
        <v>1.3089</v>
      </c>
      <c r="Q531" s="4">
        <v>0.50962962962962999</v>
      </c>
      <c r="R531" s="4">
        <v>0.77083333333333337</v>
      </c>
      <c r="T531" s="13">
        <v>37.25</v>
      </c>
      <c r="U531" s="10">
        <v>37.261000000000003</v>
      </c>
      <c r="V531" s="2">
        <f t="shared" si="131"/>
        <v>1.1000000000002785E-2</v>
      </c>
      <c r="W531" s="2" t="str">
        <f t="shared" si="123"/>
        <v>6:16:08</v>
      </c>
      <c r="X531" s="10">
        <v>0.111</v>
      </c>
      <c r="Y531" s="12">
        <f t="shared" si="132"/>
        <v>37.150000000000006</v>
      </c>
      <c r="Z531" s="10">
        <f t="shared" si="133"/>
        <v>-9.9999999999994316E-2</v>
      </c>
      <c r="AA531" s="10">
        <f t="shared" si="134"/>
        <v>37.200000000000003</v>
      </c>
      <c r="AB531" s="10" t="s">
        <v>90</v>
      </c>
    </row>
    <row r="532" spans="1:28" ht="15" customHeight="1" x14ac:dyDescent="0.25">
      <c r="A532">
        <v>90</v>
      </c>
      <c r="B532" t="s">
        <v>54</v>
      </c>
      <c r="C532" t="s">
        <v>55</v>
      </c>
      <c r="D532" t="s">
        <v>12</v>
      </c>
      <c r="E532" t="s">
        <v>56</v>
      </c>
      <c r="F532" s="1">
        <v>44977</v>
      </c>
      <c r="G532" s="1">
        <v>45119</v>
      </c>
      <c r="H532">
        <f t="shared" si="126"/>
        <v>142</v>
      </c>
      <c r="I532" t="s">
        <v>36</v>
      </c>
      <c r="J532">
        <v>31.5</v>
      </c>
      <c r="K532">
        <v>255</v>
      </c>
      <c r="L532">
        <v>1</v>
      </c>
      <c r="M532">
        <v>5</v>
      </c>
      <c r="N532">
        <v>1</v>
      </c>
      <c r="O532" s="2">
        <v>34.82</v>
      </c>
      <c r="P532" s="3">
        <v>1.9416</v>
      </c>
      <c r="Q532" s="4">
        <v>0.50962962962962999</v>
      </c>
      <c r="R532" s="4">
        <v>0.77083333333333337</v>
      </c>
      <c r="T532" s="13">
        <v>37.25</v>
      </c>
      <c r="U532" s="10">
        <v>37.261000000000003</v>
      </c>
      <c r="V532" s="2">
        <f t="shared" si="131"/>
        <v>1.1000000000002785E-2</v>
      </c>
      <c r="W532" s="2" t="str">
        <f t="shared" ref="W532:W563" si="135">TEXT(R532-Q532,"h:mm:ss")</f>
        <v>6:16:08</v>
      </c>
      <c r="X532" s="10">
        <v>0.111</v>
      </c>
      <c r="Y532" s="12">
        <f t="shared" si="132"/>
        <v>37.150000000000006</v>
      </c>
      <c r="Z532" s="10">
        <f t="shared" si="133"/>
        <v>-9.9999999999994316E-2</v>
      </c>
      <c r="AA532" s="10">
        <f t="shared" si="134"/>
        <v>37.200000000000003</v>
      </c>
      <c r="AB532" s="10" t="s">
        <v>90</v>
      </c>
    </row>
    <row r="533" spans="1:28" ht="15" customHeight="1" x14ac:dyDescent="0.25">
      <c r="A533">
        <v>90</v>
      </c>
      <c r="B533" t="s">
        <v>54</v>
      </c>
      <c r="C533" t="s">
        <v>55</v>
      </c>
      <c r="D533" t="s">
        <v>12</v>
      </c>
      <c r="E533" t="s">
        <v>56</v>
      </c>
      <c r="F533" s="1">
        <v>44977</v>
      </c>
      <c r="G533" s="1">
        <v>45119</v>
      </c>
      <c r="H533">
        <f t="shared" si="126"/>
        <v>142</v>
      </c>
      <c r="I533" t="s">
        <v>36</v>
      </c>
      <c r="J533">
        <v>31.5</v>
      </c>
      <c r="K533">
        <v>255</v>
      </c>
      <c r="L533">
        <v>1</v>
      </c>
      <c r="M533">
        <v>5</v>
      </c>
      <c r="N533">
        <v>2</v>
      </c>
      <c r="O533" s="2">
        <v>35.479999999999997</v>
      </c>
      <c r="P533" s="3">
        <v>1.9804999999999999</v>
      </c>
      <c r="Q533" s="4">
        <v>0.50962962962962999</v>
      </c>
      <c r="R533" s="4">
        <v>0.77083333333333337</v>
      </c>
      <c r="T533" s="13">
        <v>37.25</v>
      </c>
      <c r="U533" s="10">
        <v>37.261000000000003</v>
      </c>
      <c r="V533" s="2">
        <f t="shared" si="131"/>
        <v>1.1000000000002785E-2</v>
      </c>
      <c r="W533" s="2" t="str">
        <f t="shared" si="135"/>
        <v>6:16:08</v>
      </c>
      <c r="X533" s="10">
        <v>0.111</v>
      </c>
      <c r="Y533" s="12">
        <f t="shared" si="132"/>
        <v>37.150000000000006</v>
      </c>
      <c r="Z533" s="10">
        <f t="shared" si="133"/>
        <v>-9.9999999999994316E-2</v>
      </c>
      <c r="AA533" s="10">
        <f t="shared" si="134"/>
        <v>37.200000000000003</v>
      </c>
      <c r="AB533" s="10" t="s">
        <v>90</v>
      </c>
    </row>
    <row r="534" spans="1:28" ht="15" customHeight="1" x14ac:dyDescent="0.25">
      <c r="A534">
        <v>90</v>
      </c>
      <c r="B534" t="s">
        <v>54</v>
      </c>
      <c r="C534" t="s">
        <v>55</v>
      </c>
      <c r="D534" t="s">
        <v>12</v>
      </c>
      <c r="E534" t="s">
        <v>56</v>
      </c>
      <c r="F534" s="1">
        <v>44977</v>
      </c>
      <c r="G534" s="1">
        <v>45119</v>
      </c>
      <c r="H534">
        <f t="shared" si="126"/>
        <v>142</v>
      </c>
      <c r="I534" t="s">
        <v>37</v>
      </c>
      <c r="J534">
        <v>30</v>
      </c>
      <c r="K534">
        <v>252</v>
      </c>
      <c r="L534">
        <v>1</v>
      </c>
      <c r="M534">
        <v>5</v>
      </c>
      <c r="N534">
        <v>3</v>
      </c>
      <c r="O534" s="2">
        <v>32.79</v>
      </c>
      <c r="P534" s="3">
        <v>1.5617000000000001</v>
      </c>
      <c r="Q534" s="4">
        <v>0.50962962962962999</v>
      </c>
      <c r="R534" s="4">
        <v>0.76944444444444438</v>
      </c>
      <c r="T534" s="13">
        <v>37.299999999999997</v>
      </c>
      <c r="U534" s="10">
        <v>37.232999999999997</v>
      </c>
      <c r="V534" s="2">
        <f t="shared" si="131"/>
        <v>-6.7000000000000171E-2</v>
      </c>
      <c r="W534" s="2" t="str">
        <f t="shared" si="135"/>
        <v>6:14:08</v>
      </c>
      <c r="X534" s="10">
        <v>0.111</v>
      </c>
      <c r="Y534" s="12">
        <f t="shared" si="132"/>
        <v>37.122</v>
      </c>
      <c r="Z534" s="11">
        <f t="shared" si="133"/>
        <v>-0.17799999999999727</v>
      </c>
      <c r="AA534" s="10">
        <f t="shared" si="134"/>
        <v>37.210999999999999</v>
      </c>
      <c r="AB534" s="10" t="s">
        <v>90</v>
      </c>
    </row>
    <row r="535" spans="1:28" ht="15" customHeight="1" x14ac:dyDescent="0.25">
      <c r="A535">
        <v>90</v>
      </c>
      <c r="B535" t="s">
        <v>54</v>
      </c>
      <c r="C535" t="s">
        <v>55</v>
      </c>
      <c r="D535" t="s">
        <v>12</v>
      </c>
      <c r="E535" t="s">
        <v>56</v>
      </c>
      <c r="F535" s="1">
        <v>44977</v>
      </c>
      <c r="G535" s="1">
        <v>45119</v>
      </c>
      <c r="H535">
        <f t="shared" si="126"/>
        <v>142</v>
      </c>
      <c r="I535" t="s">
        <v>36</v>
      </c>
      <c r="J535">
        <v>31.5</v>
      </c>
      <c r="K535">
        <v>255</v>
      </c>
      <c r="L535">
        <v>1</v>
      </c>
      <c r="M535">
        <v>5</v>
      </c>
      <c r="N535">
        <v>5</v>
      </c>
      <c r="O535" s="2">
        <v>29.06</v>
      </c>
      <c r="P535" s="3">
        <v>1.0572999999999999</v>
      </c>
      <c r="Q535" s="4">
        <v>0.50962962962962999</v>
      </c>
      <c r="R535" s="4">
        <v>0.76944444444444438</v>
      </c>
      <c r="T535" s="13">
        <v>37.299999999999997</v>
      </c>
      <c r="U535" s="10">
        <v>37.232999999999997</v>
      </c>
      <c r="V535" s="2">
        <f t="shared" si="131"/>
        <v>-6.7000000000000171E-2</v>
      </c>
      <c r="W535" s="2" t="str">
        <f t="shared" si="135"/>
        <v>6:14:08</v>
      </c>
      <c r="X535" s="10">
        <v>0.111</v>
      </c>
      <c r="Y535" s="12">
        <f t="shared" si="132"/>
        <v>37.122</v>
      </c>
      <c r="Z535" s="11">
        <f t="shared" si="133"/>
        <v>-0.17799999999999727</v>
      </c>
      <c r="AA535" s="10">
        <f t="shared" si="134"/>
        <v>37.210999999999999</v>
      </c>
      <c r="AB535" s="10" t="s">
        <v>90</v>
      </c>
    </row>
    <row r="536" spans="1:28" ht="15" customHeight="1" x14ac:dyDescent="0.25">
      <c r="A536">
        <v>90</v>
      </c>
      <c r="B536" t="s">
        <v>54</v>
      </c>
      <c r="C536" t="s">
        <v>55</v>
      </c>
      <c r="D536" t="s">
        <v>12</v>
      </c>
      <c r="E536" t="s">
        <v>56</v>
      </c>
      <c r="F536" s="1">
        <v>44977</v>
      </c>
      <c r="G536" s="1">
        <v>45113</v>
      </c>
      <c r="H536">
        <f t="shared" si="126"/>
        <v>136</v>
      </c>
      <c r="I536" t="s">
        <v>36</v>
      </c>
      <c r="J536">
        <v>31.5</v>
      </c>
      <c r="K536">
        <v>356</v>
      </c>
      <c r="L536">
        <v>2</v>
      </c>
      <c r="M536">
        <v>1</v>
      </c>
      <c r="N536">
        <v>2</v>
      </c>
      <c r="O536" s="2">
        <v>32.06</v>
      </c>
      <c r="P536" s="3">
        <v>1.3772</v>
      </c>
      <c r="Q536" s="4">
        <v>0.48844907407407401</v>
      </c>
      <c r="R536" s="4">
        <v>0.74861111111111101</v>
      </c>
      <c r="T536" s="13">
        <v>37.200000000000003</v>
      </c>
      <c r="U536" s="10">
        <v>37.343000000000004</v>
      </c>
      <c r="V536" s="2">
        <f t="shared" si="131"/>
        <v>0.14300000000000068</v>
      </c>
      <c r="W536" s="2" t="str">
        <f t="shared" si="135"/>
        <v>6:14:38</v>
      </c>
      <c r="X536" s="10">
        <v>0.10299999999999999</v>
      </c>
      <c r="Y536" s="12">
        <f t="shared" si="132"/>
        <v>37.24</v>
      </c>
      <c r="Z536" s="10">
        <f t="shared" si="133"/>
        <v>3.9999999999999147E-2</v>
      </c>
      <c r="AA536" s="10">
        <f t="shared" si="134"/>
        <v>37.22</v>
      </c>
      <c r="AB536" s="10" t="s">
        <v>90</v>
      </c>
    </row>
    <row r="537" spans="1:28" ht="15" customHeight="1" x14ac:dyDescent="0.25">
      <c r="A537">
        <v>90</v>
      </c>
      <c r="B537" t="s">
        <v>54</v>
      </c>
      <c r="C537" t="s">
        <v>55</v>
      </c>
      <c r="D537" t="s">
        <v>12</v>
      </c>
      <c r="E537" t="s">
        <v>56</v>
      </c>
      <c r="F537" s="1">
        <v>44977</v>
      </c>
      <c r="G537" s="1">
        <v>45119</v>
      </c>
      <c r="H537">
        <f t="shared" si="126"/>
        <v>142</v>
      </c>
      <c r="I537" t="s">
        <v>37</v>
      </c>
      <c r="J537">
        <v>30</v>
      </c>
      <c r="K537">
        <v>252</v>
      </c>
      <c r="L537">
        <v>1</v>
      </c>
      <c r="M537">
        <v>5</v>
      </c>
      <c r="N537">
        <v>4</v>
      </c>
      <c r="O537" s="2">
        <v>33.33</v>
      </c>
      <c r="P537" s="3">
        <v>1.6052999999999999</v>
      </c>
      <c r="Q537" s="4">
        <v>0.50962962962962999</v>
      </c>
      <c r="R537" s="4">
        <v>0.77430555555555547</v>
      </c>
      <c r="T537" s="13">
        <v>37.299999999999997</v>
      </c>
      <c r="U537" s="10">
        <v>37.343000000000004</v>
      </c>
      <c r="V537" s="2">
        <f t="shared" si="131"/>
        <v>4.3000000000006366E-2</v>
      </c>
      <c r="W537" s="2" t="str">
        <f t="shared" si="135"/>
        <v>6:21:08</v>
      </c>
      <c r="X537" s="10">
        <v>0.111</v>
      </c>
      <c r="Y537" s="12">
        <f t="shared" si="132"/>
        <v>37.232000000000006</v>
      </c>
      <c r="Z537" s="10">
        <f t="shared" si="133"/>
        <v>-6.7999999999990735E-2</v>
      </c>
      <c r="AA537" s="10">
        <f t="shared" si="134"/>
        <v>37.266000000000005</v>
      </c>
      <c r="AB537" s="10" t="s">
        <v>90</v>
      </c>
    </row>
    <row r="538" spans="1:28" ht="15" customHeight="1" x14ac:dyDescent="0.25">
      <c r="A538">
        <v>90</v>
      </c>
      <c r="B538" t="s">
        <v>54</v>
      </c>
      <c r="C538" t="s">
        <v>55</v>
      </c>
      <c r="D538" t="s">
        <v>12</v>
      </c>
      <c r="E538" t="s">
        <v>56</v>
      </c>
      <c r="F538" s="1">
        <v>44977</v>
      </c>
      <c r="G538" s="1">
        <v>45113</v>
      </c>
      <c r="H538">
        <f t="shared" si="126"/>
        <v>136</v>
      </c>
      <c r="I538" t="s">
        <v>36</v>
      </c>
      <c r="J538">
        <v>31.5</v>
      </c>
      <c r="K538">
        <v>356</v>
      </c>
      <c r="L538">
        <v>2</v>
      </c>
      <c r="M538">
        <v>1</v>
      </c>
      <c r="N538">
        <v>3</v>
      </c>
      <c r="O538" s="2">
        <v>36.32</v>
      </c>
      <c r="P538" s="3">
        <v>1.968</v>
      </c>
      <c r="Q538" s="4">
        <v>0.48844907407407401</v>
      </c>
      <c r="R538" s="4">
        <v>0.75138888888888899</v>
      </c>
      <c r="T538" s="13">
        <v>37.299999999999997</v>
      </c>
      <c r="U538" s="10">
        <v>37.398000000000003</v>
      </c>
      <c r="V538" s="2">
        <f t="shared" si="131"/>
        <v>9.8000000000006082E-2</v>
      </c>
      <c r="W538" s="2" t="str">
        <f t="shared" si="135"/>
        <v>6:18:38</v>
      </c>
      <c r="X538" s="10">
        <v>0.10299999999999999</v>
      </c>
      <c r="Y538" s="12">
        <f t="shared" si="132"/>
        <v>37.295000000000002</v>
      </c>
      <c r="Z538" s="10">
        <f t="shared" si="133"/>
        <v>-4.9999999999954525E-3</v>
      </c>
      <c r="AA538" s="10">
        <f t="shared" si="134"/>
        <v>37.297499999999999</v>
      </c>
      <c r="AB538" s="10" t="s">
        <v>90</v>
      </c>
    </row>
    <row r="539" spans="1:28" ht="15" customHeight="1" x14ac:dyDescent="0.25">
      <c r="A539">
        <v>90</v>
      </c>
      <c r="B539" t="s">
        <v>54</v>
      </c>
      <c r="C539" t="s">
        <v>55</v>
      </c>
      <c r="D539" t="s">
        <v>12</v>
      </c>
      <c r="E539" t="s">
        <v>56</v>
      </c>
      <c r="F539" s="1">
        <v>44977</v>
      </c>
      <c r="G539" s="1">
        <v>45113</v>
      </c>
      <c r="H539">
        <f t="shared" si="126"/>
        <v>136</v>
      </c>
      <c r="I539" t="s">
        <v>36</v>
      </c>
      <c r="J539">
        <v>31.5</v>
      </c>
      <c r="K539">
        <v>356</v>
      </c>
      <c r="L539">
        <v>2</v>
      </c>
      <c r="M539">
        <v>1</v>
      </c>
      <c r="N539">
        <v>1</v>
      </c>
      <c r="O539" s="2">
        <v>31.51</v>
      </c>
      <c r="P539" s="3">
        <v>1.2211000000000001</v>
      </c>
      <c r="Q539" s="4">
        <v>0.48844907407407401</v>
      </c>
      <c r="R539" s="4">
        <v>0.75902777777777775</v>
      </c>
      <c r="T539" s="13">
        <v>37.450000000000003</v>
      </c>
      <c r="U539" s="10">
        <v>37.590000000000003</v>
      </c>
      <c r="V539" s="2">
        <f t="shared" si="131"/>
        <v>0.14000000000000057</v>
      </c>
      <c r="W539" s="2" t="str">
        <f t="shared" si="135"/>
        <v>6:29:38</v>
      </c>
      <c r="X539" s="10">
        <v>0.10299999999999999</v>
      </c>
      <c r="Y539" s="12">
        <f t="shared" si="132"/>
        <v>37.487000000000002</v>
      </c>
      <c r="Z539" s="10">
        <f t="shared" si="133"/>
        <v>3.6999999999999034E-2</v>
      </c>
      <c r="AA539" s="10">
        <f t="shared" si="134"/>
        <v>37.468500000000006</v>
      </c>
      <c r="AB539" s="10" t="s">
        <v>90</v>
      </c>
    </row>
    <row r="540" spans="1:28" ht="15" customHeight="1" x14ac:dyDescent="0.25">
      <c r="A540">
        <v>101</v>
      </c>
      <c r="B540" t="s">
        <v>41</v>
      </c>
      <c r="C540" t="s">
        <v>42</v>
      </c>
      <c r="D540" t="s">
        <v>13</v>
      </c>
      <c r="E540" t="s">
        <v>7</v>
      </c>
      <c r="F540" s="1">
        <v>44982</v>
      </c>
      <c r="G540" s="1">
        <v>45119</v>
      </c>
      <c r="H540">
        <f t="shared" si="126"/>
        <v>137</v>
      </c>
      <c r="J540">
        <v>28.5</v>
      </c>
      <c r="K540">
        <v>339</v>
      </c>
      <c r="L540">
        <v>1</v>
      </c>
      <c r="O540" s="2">
        <v>30.75</v>
      </c>
      <c r="P540" s="3">
        <v>1.0649</v>
      </c>
      <c r="Q540" s="4">
        <v>0.50962962962962999</v>
      </c>
      <c r="R540" s="4">
        <v>0.74236111111111114</v>
      </c>
      <c r="S540" s="2"/>
      <c r="T540" s="13"/>
      <c r="V540" s="10"/>
      <c r="W540" s="2" t="str">
        <f t="shared" si="135"/>
        <v>5:35:08</v>
      </c>
      <c r="Y540" s="12"/>
      <c r="AA540" s="10">
        <v>36.56</v>
      </c>
      <c r="AB540" s="10" t="s">
        <v>91</v>
      </c>
    </row>
    <row r="541" spans="1:28" ht="15" customHeight="1" x14ac:dyDescent="0.25">
      <c r="A541">
        <v>101</v>
      </c>
      <c r="B541" t="s">
        <v>41</v>
      </c>
      <c r="C541" t="s">
        <v>42</v>
      </c>
      <c r="D541" t="s">
        <v>13</v>
      </c>
      <c r="E541" t="s">
        <v>7</v>
      </c>
      <c r="F541" s="1">
        <v>44982</v>
      </c>
      <c r="G541" s="1">
        <v>45119</v>
      </c>
      <c r="H541">
        <f t="shared" si="126"/>
        <v>137</v>
      </c>
      <c r="I541" t="s">
        <v>38</v>
      </c>
      <c r="J541">
        <v>28.5</v>
      </c>
      <c r="K541">
        <v>339</v>
      </c>
      <c r="L541">
        <v>1</v>
      </c>
      <c r="M541">
        <v>3</v>
      </c>
      <c r="N541">
        <v>1</v>
      </c>
      <c r="O541" s="2">
        <v>32.01</v>
      </c>
      <c r="P541" s="3">
        <v>1.2934000000000001</v>
      </c>
      <c r="Q541" s="4">
        <v>0.50962962962962999</v>
      </c>
      <c r="R541" s="4">
        <v>0.74722222222222223</v>
      </c>
      <c r="T541" s="13">
        <v>36.700000000000003</v>
      </c>
      <c r="U541" s="10">
        <v>36.715000000000003</v>
      </c>
      <c r="V541" s="2">
        <f>U541-T541</f>
        <v>1.5000000000000568E-2</v>
      </c>
      <c r="W541" s="2" t="str">
        <f t="shared" si="135"/>
        <v>5:42:08</v>
      </c>
      <c r="X541" s="10">
        <v>8.0199999999999994E-2</v>
      </c>
      <c r="Y541" s="12">
        <f>U541-X541</f>
        <v>36.634800000000006</v>
      </c>
      <c r="Z541" s="10">
        <f>Y541-T541</f>
        <v>-6.519999999999726E-2</v>
      </c>
      <c r="AA541" s="10">
        <f>AVERAGE(Y541,T541)</f>
        <v>36.667400000000001</v>
      </c>
      <c r="AB541" s="10" t="s">
        <v>90</v>
      </c>
    </row>
    <row r="542" spans="1:28" ht="15" customHeight="1" x14ac:dyDescent="0.25">
      <c r="A542">
        <v>101</v>
      </c>
      <c r="B542" t="s">
        <v>41</v>
      </c>
      <c r="C542" t="s">
        <v>42</v>
      </c>
      <c r="D542" t="s">
        <v>13</v>
      </c>
      <c r="E542" t="s">
        <v>7</v>
      </c>
      <c r="F542" s="1">
        <v>44982</v>
      </c>
      <c r="G542" s="1">
        <v>45117</v>
      </c>
      <c r="H542">
        <f t="shared" si="126"/>
        <v>135</v>
      </c>
      <c r="J542">
        <v>30</v>
      </c>
      <c r="K542">
        <v>248</v>
      </c>
      <c r="L542">
        <v>1</v>
      </c>
      <c r="O542" s="2">
        <v>33.22</v>
      </c>
      <c r="P542" s="3">
        <v>1.3207</v>
      </c>
      <c r="Q542" s="4">
        <v>0.55208333333333304</v>
      </c>
      <c r="R542" s="4">
        <v>0.80069444444444438</v>
      </c>
      <c r="S542" s="2"/>
      <c r="T542" s="13"/>
      <c r="V542" s="10"/>
      <c r="W542" s="2" t="str">
        <f t="shared" si="135"/>
        <v>5:58:00</v>
      </c>
      <c r="Y542" s="12"/>
      <c r="AA542" s="10">
        <v>36.68</v>
      </c>
      <c r="AB542" s="10" t="s">
        <v>91</v>
      </c>
    </row>
    <row r="543" spans="1:28" ht="15" customHeight="1" x14ac:dyDescent="0.25">
      <c r="A543">
        <v>101</v>
      </c>
      <c r="B543" t="s">
        <v>41</v>
      </c>
      <c r="C543" t="s">
        <v>42</v>
      </c>
      <c r="D543" t="s">
        <v>13</v>
      </c>
      <c r="E543" t="s">
        <v>7</v>
      </c>
      <c r="F543" s="1">
        <v>44982</v>
      </c>
      <c r="G543" s="1">
        <v>45121</v>
      </c>
      <c r="H543">
        <f t="shared" si="126"/>
        <v>139</v>
      </c>
      <c r="J543">
        <v>30</v>
      </c>
      <c r="K543">
        <v>135</v>
      </c>
      <c r="L543">
        <v>2</v>
      </c>
      <c r="O543" s="2">
        <v>30.73</v>
      </c>
      <c r="P543" s="3">
        <v>1.0804</v>
      </c>
      <c r="Q543" s="4">
        <v>0.47916666666666702</v>
      </c>
      <c r="R543" s="4">
        <v>0.72569444444444453</v>
      </c>
      <c r="S543" s="2"/>
      <c r="T543" s="13"/>
      <c r="V543" s="10"/>
      <c r="W543" s="2" t="str">
        <f t="shared" si="135"/>
        <v>5:55:00</v>
      </c>
      <c r="Y543" s="12"/>
      <c r="AA543" s="10">
        <v>36.700000000000003</v>
      </c>
      <c r="AB543" s="10" t="s">
        <v>91</v>
      </c>
    </row>
    <row r="544" spans="1:28" ht="15" customHeight="1" x14ac:dyDescent="0.25">
      <c r="A544">
        <v>101</v>
      </c>
      <c r="B544" t="s">
        <v>41</v>
      </c>
      <c r="C544" t="s">
        <v>42</v>
      </c>
      <c r="D544" t="s">
        <v>13</v>
      </c>
      <c r="E544" t="s">
        <v>7</v>
      </c>
      <c r="F544" s="1">
        <v>44982</v>
      </c>
      <c r="G544" s="1">
        <v>45120</v>
      </c>
      <c r="H544">
        <f t="shared" si="126"/>
        <v>138</v>
      </c>
      <c r="I544" t="s">
        <v>38</v>
      </c>
      <c r="J544">
        <v>31.5</v>
      </c>
      <c r="K544">
        <v>160</v>
      </c>
      <c r="L544">
        <v>2</v>
      </c>
      <c r="M544">
        <v>1</v>
      </c>
      <c r="N544">
        <v>3</v>
      </c>
      <c r="O544" s="2">
        <v>37.18</v>
      </c>
      <c r="P544" s="3">
        <v>2.1036999999999999</v>
      </c>
      <c r="Q544" s="4">
        <v>0.493229166666667</v>
      </c>
      <c r="R544" s="4">
        <v>0.73263888888888884</v>
      </c>
      <c r="T544" s="13"/>
      <c r="U544" s="10">
        <v>36.795999999999999</v>
      </c>
      <c r="V544" s="2"/>
      <c r="W544" s="2" t="str">
        <f t="shared" si="135"/>
        <v>5:44:45</v>
      </c>
      <c r="X544" s="10">
        <v>6.8000000000000005E-2</v>
      </c>
      <c r="Y544" s="12">
        <f>U544-X544</f>
        <v>36.728000000000002</v>
      </c>
      <c r="AA544" s="10">
        <f>AVERAGE(Y544,T544)</f>
        <v>36.728000000000002</v>
      </c>
      <c r="AB544" s="10" t="s">
        <v>90</v>
      </c>
    </row>
    <row r="545" spans="1:28" ht="15" customHeight="1" x14ac:dyDescent="0.25">
      <c r="A545">
        <v>101</v>
      </c>
      <c r="B545" t="s">
        <v>41</v>
      </c>
      <c r="C545" t="s">
        <v>42</v>
      </c>
      <c r="D545" t="s">
        <v>13</v>
      </c>
      <c r="E545" t="s">
        <v>7</v>
      </c>
      <c r="F545" s="1">
        <v>44982</v>
      </c>
      <c r="G545" s="1">
        <v>45119</v>
      </c>
      <c r="H545">
        <f t="shared" si="126"/>
        <v>137</v>
      </c>
      <c r="I545" t="s">
        <v>38</v>
      </c>
      <c r="J545">
        <v>28.5</v>
      </c>
      <c r="K545">
        <v>339</v>
      </c>
      <c r="L545">
        <v>1</v>
      </c>
      <c r="M545">
        <v>3</v>
      </c>
      <c r="N545">
        <v>5</v>
      </c>
      <c r="O545" s="2">
        <v>29.29</v>
      </c>
      <c r="P545" s="3">
        <v>0.91639999999999999</v>
      </c>
      <c r="Q545" s="4">
        <v>0.50962962962962999</v>
      </c>
      <c r="R545" s="4">
        <v>0.75208333333333333</v>
      </c>
      <c r="T545" s="13">
        <v>36.700000000000003</v>
      </c>
      <c r="U545" s="10">
        <v>36.850999999999999</v>
      </c>
      <c r="V545" s="8">
        <f>U545-T545</f>
        <v>0.15099999999999625</v>
      </c>
      <c r="W545" s="2" t="str">
        <f t="shared" si="135"/>
        <v>5:49:08</v>
      </c>
      <c r="X545" s="10">
        <v>8.0199999999999994E-2</v>
      </c>
      <c r="Y545" s="12">
        <f>U545-X545</f>
        <v>36.770800000000001</v>
      </c>
      <c r="Z545" s="10">
        <f>Y545-T545</f>
        <v>7.079999999999842E-2</v>
      </c>
      <c r="AA545" s="10">
        <f>AVERAGE(Y545,T545)</f>
        <v>36.735399999999998</v>
      </c>
      <c r="AB545" s="10" t="s">
        <v>90</v>
      </c>
    </row>
    <row r="546" spans="1:28" ht="15" customHeight="1" x14ac:dyDescent="0.25">
      <c r="A546">
        <v>101</v>
      </c>
      <c r="B546" t="s">
        <v>41</v>
      </c>
      <c r="C546" t="s">
        <v>42</v>
      </c>
      <c r="D546" t="s">
        <v>13</v>
      </c>
      <c r="E546" t="s">
        <v>7</v>
      </c>
      <c r="F546" s="1">
        <v>44982</v>
      </c>
      <c r="G546" s="1">
        <v>45119</v>
      </c>
      <c r="H546">
        <f t="shared" si="126"/>
        <v>137</v>
      </c>
      <c r="J546">
        <v>28.5</v>
      </c>
      <c r="K546">
        <v>339</v>
      </c>
      <c r="L546">
        <v>1</v>
      </c>
      <c r="O546" s="2">
        <v>38.479999999999997</v>
      </c>
      <c r="P546" s="3">
        <v>2.1652999999999998</v>
      </c>
      <c r="Q546" s="4">
        <v>0.50962962962962999</v>
      </c>
      <c r="R546" s="4">
        <v>0.75069444444444444</v>
      </c>
      <c r="S546" s="2"/>
      <c r="T546" s="13"/>
      <c r="V546" s="10"/>
      <c r="W546" s="2" t="str">
        <f t="shared" si="135"/>
        <v>5:47:08</v>
      </c>
      <c r="Y546" s="12"/>
      <c r="AA546" s="10">
        <v>36.76</v>
      </c>
      <c r="AB546" s="10" t="s">
        <v>91</v>
      </c>
    </row>
    <row r="547" spans="1:28" ht="15" customHeight="1" x14ac:dyDescent="0.25">
      <c r="A547">
        <v>101</v>
      </c>
      <c r="B547" t="s">
        <v>41</v>
      </c>
      <c r="C547" t="s">
        <v>42</v>
      </c>
      <c r="D547" t="s">
        <v>13</v>
      </c>
      <c r="E547" t="s">
        <v>7</v>
      </c>
      <c r="F547" s="1">
        <v>44982</v>
      </c>
      <c r="G547" s="1">
        <v>45119</v>
      </c>
      <c r="H547">
        <f t="shared" si="126"/>
        <v>137</v>
      </c>
      <c r="I547" t="s">
        <v>38</v>
      </c>
      <c r="J547">
        <v>28.5</v>
      </c>
      <c r="K547">
        <v>339</v>
      </c>
      <c r="L547">
        <v>1</v>
      </c>
      <c r="M547">
        <v>3</v>
      </c>
      <c r="N547">
        <v>2</v>
      </c>
      <c r="O547" s="2">
        <v>30.8</v>
      </c>
      <c r="P547" s="3">
        <v>1.1023000000000001</v>
      </c>
      <c r="Q547" s="4">
        <v>0.50962962962962999</v>
      </c>
      <c r="R547" s="4">
        <v>0.75486111111111109</v>
      </c>
      <c r="T547" s="13">
        <v>36.799999999999997</v>
      </c>
      <c r="U547" s="10">
        <v>36.905000000000001</v>
      </c>
      <c r="V547" s="2">
        <f>U547-T547</f>
        <v>0.10500000000000398</v>
      </c>
      <c r="W547" s="2" t="str">
        <f t="shared" si="135"/>
        <v>5:53:08</v>
      </c>
      <c r="X547" s="10">
        <v>8.0199999999999994E-2</v>
      </c>
      <c r="Y547" s="12">
        <f t="shared" ref="Y547:Y561" si="136">U547-X547</f>
        <v>36.824800000000003</v>
      </c>
      <c r="Z547" s="10">
        <f>Y547-T547</f>
        <v>2.480000000000615E-2</v>
      </c>
      <c r="AA547" s="10">
        <f t="shared" ref="AA547:AA561" si="137">AVERAGE(Y547,T547)</f>
        <v>36.812399999999997</v>
      </c>
      <c r="AB547" s="10" t="s">
        <v>90</v>
      </c>
    </row>
    <row r="548" spans="1:28" ht="15" customHeight="1" x14ac:dyDescent="0.25">
      <c r="A548">
        <v>101</v>
      </c>
      <c r="B548" t="s">
        <v>41</v>
      </c>
      <c r="C548" t="s">
        <v>42</v>
      </c>
      <c r="D548" t="s">
        <v>13</v>
      </c>
      <c r="E548" t="s">
        <v>7</v>
      </c>
      <c r="F548" s="1">
        <v>44982</v>
      </c>
      <c r="G548" s="1">
        <v>45119</v>
      </c>
      <c r="H548">
        <f t="shared" si="126"/>
        <v>137</v>
      </c>
      <c r="I548" t="s">
        <v>38</v>
      </c>
      <c r="J548">
        <v>28.5</v>
      </c>
      <c r="K548">
        <v>339</v>
      </c>
      <c r="L548">
        <v>1</v>
      </c>
      <c r="M548">
        <v>3</v>
      </c>
      <c r="N548">
        <v>4</v>
      </c>
      <c r="O548" s="2">
        <v>33.049999999999997</v>
      </c>
      <c r="P548" s="3">
        <v>1.4098999999999999</v>
      </c>
      <c r="Q548" s="4">
        <v>0.50962962962962999</v>
      </c>
      <c r="R548" s="4">
        <v>0.75486111111111109</v>
      </c>
      <c r="T548" s="13">
        <v>36.799999999999997</v>
      </c>
      <c r="U548" s="10">
        <v>36.905000000000001</v>
      </c>
      <c r="V548" s="2">
        <f>U548-T548</f>
        <v>0.10500000000000398</v>
      </c>
      <c r="W548" s="2" t="str">
        <f t="shared" si="135"/>
        <v>5:53:08</v>
      </c>
      <c r="X548" s="10">
        <v>8.0199999999999994E-2</v>
      </c>
      <c r="Y548" s="12">
        <f t="shared" si="136"/>
        <v>36.824800000000003</v>
      </c>
      <c r="Z548" s="10">
        <f>Y548-T548</f>
        <v>2.480000000000615E-2</v>
      </c>
      <c r="AA548" s="10">
        <f t="shared" si="137"/>
        <v>36.812399999999997</v>
      </c>
      <c r="AB548" s="10" t="s">
        <v>90</v>
      </c>
    </row>
    <row r="549" spans="1:28" ht="15" customHeight="1" x14ac:dyDescent="0.25">
      <c r="A549">
        <v>101</v>
      </c>
      <c r="B549" t="s">
        <v>41</v>
      </c>
      <c r="C549" t="s">
        <v>42</v>
      </c>
      <c r="D549" t="s">
        <v>13</v>
      </c>
      <c r="E549" t="s">
        <v>7</v>
      </c>
      <c r="F549" s="1">
        <v>44982</v>
      </c>
      <c r="G549" s="1">
        <v>45119</v>
      </c>
      <c r="H549">
        <f t="shared" si="126"/>
        <v>137</v>
      </c>
      <c r="I549" t="s">
        <v>38</v>
      </c>
      <c r="J549">
        <v>28.5</v>
      </c>
      <c r="K549">
        <v>339</v>
      </c>
      <c r="L549">
        <v>1</v>
      </c>
      <c r="M549">
        <v>3</v>
      </c>
      <c r="N549">
        <v>3</v>
      </c>
      <c r="O549" s="2">
        <v>34.9</v>
      </c>
      <c r="P549" s="3">
        <v>1.6314</v>
      </c>
      <c r="Q549" s="4">
        <v>0.50962962962962999</v>
      </c>
      <c r="R549" s="4">
        <v>0.75486111111111109</v>
      </c>
      <c r="T549" s="13">
        <v>36.799999999999997</v>
      </c>
      <c r="U549" s="10">
        <v>36.905000000000001</v>
      </c>
      <c r="V549" s="2">
        <f>U549-T549</f>
        <v>0.10500000000000398</v>
      </c>
      <c r="W549" s="2" t="str">
        <f t="shared" si="135"/>
        <v>5:53:08</v>
      </c>
      <c r="X549" s="10">
        <v>8.0199999999999994E-2</v>
      </c>
      <c r="Y549" s="12">
        <f t="shared" si="136"/>
        <v>36.824800000000003</v>
      </c>
      <c r="Z549" s="10">
        <f>Y549-T549</f>
        <v>2.480000000000615E-2</v>
      </c>
      <c r="AA549" s="10">
        <f t="shared" si="137"/>
        <v>36.812399999999997</v>
      </c>
      <c r="AB549" s="10" t="s">
        <v>90</v>
      </c>
    </row>
    <row r="550" spans="1:28" ht="15" customHeight="1" x14ac:dyDescent="0.25">
      <c r="A550">
        <v>65</v>
      </c>
      <c r="B550" t="s">
        <v>41</v>
      </c>
      <c r="C550" t="s">
        <v>42</v>
      </c>
      <c r="D550" t="s">
        <v>13</v>
      </c>
      <c r="E550" t="s">
        <v>7</v>
      </c>
      <c r="F550" s="1">
        <v>44953</v>
      </c>
      <c r="G550" s="1">
        <v>45083</v>
      </c>
      <c r="H550">
        <f t="shared" si="126"/>
        <v>130</v>
      </c>
      <c r="I550" t="s">
        <v>37</v>
      </c>
      <c r="J550">
        <v>30</v>
      </c>
      <c r="K550">
        <v>232</v>
      </c>
      <c r="L550">
        <v>2</v>
      </c>
      <c r="M550">
        <v>5</v>
      </c>
      <c r="N550">
        <v>3</v>
      </c>
      <c r="O550" s="2">
        <v>34.43</v>
      </c>
      <c r="P550" s="3">
        <v>1.6047</v>
      </c>
      <c r="Q550" s="4">
        <v>0.44003472222222201</v>
      </c>
      <c r="R550" s="4">
        <v>0.71111111111111114</v>
      </c>
      <c r="S550" s="2">
        <f t="shared" ref="S550:S556" si="138">AVERAGE(T550:U550)</f>
        <v>36.933</v>
      </c>
      <c r="T550" s="13"/>
      <c r="U550" s="10">
        <v>36.933</v>
      </c>
      <c r="V550" s="2"/>
      <c r="W550" s="2" t="str">
        <f t="shared" si="135"/>
        <v>6:30:21</v>
      </c>
      <c r="X550" s="10">
        <v>0.10340000000000001</v>
      </c>
      <c r="Y550" s="12">
        <f t="shared" si="136"/>
        <v>36.829599999999999</v>
      </c>
      <c r="AA550" s="10">
        <f t="shared" si="137"/>
        <v>36.829599999999999</v>
      </c>
      <c r="AB550" s="10" t="s">
        <v>90</v>
      </c>
    </row>
    <row r="551" spans="1:28" ht="15" customHeight="1" x14ac:dyDescent="0.25">
      <c r="A551">
        <v>65</v>
      </c>
      <c r="B551" t="s">
        <v>41</v>
      </c>
      <c r="C551" t="s">
        <v>42</v>
      </c>
      <c r="D551" t="s">
        <v>13</v>
      </c>
      <c r="E551" t="s">
        <v>7</v>
      </c>
      <c r="F551" s="1">
        <v>44953</v>
      </c>
      <c r="G551" s="1">
        <v>45083</v>
      </c>
      <c r="H551">
        <f t="shared" si="126"/>
        <v>130</v>
      </c>
      <c r="I551" t="s">
        <v>38</v>
      </c>
      <c r="J551">
        <v>31.5</v>
      </c>
      <c r="K551">
        <v>126</v>
      </c>
      <c r="L551">
        <v>2</v>
      </c>
      <c r="M551">
        <v>5</v>
      </c>
      <c r="N551">
        <v>4</v>
      </c>
      <c r="O551" s="2">
        <v>30.05</v>
      </c>
      <c r="P551" s="3">
        <v>1.0521</v>
      </c>
      <c r="Q551" s="4">
        <v>0.44003472222222201</v>
      </c>
      <c r="R551" s="4">
        <v>0.71111111111111114</v>
      </c>
      <c r="S551" s="2">
        <f t="shared" si="138"/>
        <v>36.933</v>
      </c>
      <c r="T551" s="13"/>
      <c r="U551" s="10">
        <v>36.933</v>
      </c>
      <c r="V551" s="2"/>
      <c r="W551" s="2" t="str">
        <f t="shared" si="135"/>
        <v>6:30:21</v>
      </c>
      <c r="X551" s="10">
        <v>0.10340000000000001</v>
      </c>
      <c r="Y551" s="12">
        <f t="shared" si="136"/>
        <v>36.829599999999999</v>
      </c>
      <c r="AA551" s="10">
        <f t="shared" si="137"/>
        <v>36.829599999999999</v>
      </c>
      <c r="AB551" s="10" t="s">
        <v>90</v>
      </c>
    </row>
    <row r="552" spans="1:28" ht="15" customHeight="1" x14ac:dyDescent="0.25">
      <c r="A552">
        <v>65</v>
      </c>
      <c r="B552" t="s">
        <v>41</v>
      </c>
      <c r="C552" t="s">
        <v>42</v>
      </c>
      <c r="D552" t="s">
        <v>13</v>
      </c>
      <c r="E552" t="s">
        <v>7</v>
      </c>
      <c r="F552" s="1">
        <v>44953</v>
      </c>
      <c r="G552" s="1">
        <v>45083</v>
      </c>
      <c r="H552">
        <f t="shared" si="126"/>
        <v>130</v>
      </c>
      <c r="I552" t="s">
        <v>38</v>
      </c>
      <c r="J552">
        <v>31.5</v>
      </c>
      <c r="K552">
        <v>126</v>
      </c>
      <c r="L552">
        <v>2</v>
      </c>
      <c r="M552">
        <v>5</v>
      </c>
      <c r="N552">
        <v>1</v>
      </c>
      <c r="O552" s="2">
        <v>31.52</v>
      </c>
      <c r="P552" s="3">
        <v>1.2126999999999999</v>
      </c>
      <c r="Q552" s="4">
        <v>0.44003472222222201</v>
      </c>
      <c r="R552" s="4">
        <v>0.71111111111111114</v>
      </c>
      <c r="S552" s="2">
        <f t="shared" si="138"/>
        <v>36.933</v>
      </c>
      <c r="T552" s="13"/>
      <c r="U552" s="10">
        <v>36.933</v>
      </c>
      <c r="V552" s="2"/>
      <c r="W552" s="2" t="str">
        <f t="shared" si="135"/>
        <v>6:30:21</v>
      </c>
      <c r="X552" s="10">
        <v>0.10340000000000001</v>
      </c>
      <c r="Y552" s="12">
        <f t="shared" si="136"/>
        <v>36.829599999999999</v>
      </c>
      <c r="AA552" s="10">
        <f t="shared" si="137"/>
        <v>36.829599999999999</v>
      </c>
      <c r="AB552" s="10" t="s">
        <v>90</v>
      </c>
    </row>
    <row r="553" spans="1:28" ht="15" customHeight="1" x14ac:dyDescent="0.25">
      <c r="A553">
        <v>65</v>
      </c>
      <c r="B553" t="s">
        <v>41</v>
      </c>
      <c r="C553" t="s">
        <v>42</v>
      </c>
      <c r="D553" t="s">
        <v>13</v>
      </c>
      <c r="E553" t="s">
        <v>7</v>
      </c>
      <c r="F553" s="1">
        <v>44953</v>
      </c>
      <c r="G553" s="1">
        <v>45086</v>
      </c>
      <c r="H553">
        <f t="shared" si="126"/>
        <v>133</v>
      </c>
      <c r="I553" t="s">
        <v>36</v>
      </c>
      <c r="J553">
        <v>28.5</v>
      </c>
      <c r="K553">
        <v>147</v>
      </c>
      <c r="L553">
        <v>1</v>
      </c>
      <c r="M553">
        <v>3</v>
      </c>
      <c r="N553">
        <v>3</v>
      </c>
      <c r="O553" s="2">
        <v>32.11</v>
      </c>
      <c r="P553" s="3">
        <v>1.3546</v>
      </c>
      <c r="Q553" s="4">
        <v>0.481793981481482</v>
      </c>
      <c r="R553" s="4">
        <v>0.72743055555555547</v>
      </c>
      <c r="S553" s="2">
        <f t="shared" si="138"/>
        <v>36.852499999999999</v>
      </c>
      <c r="T553" s="13">
        <v>36.799999999999997</v>
      </c>
      <c r="U553" s="10">
        <v>36.905000000000001</v>
      </c>
      <c r="V553" s="2">
        <f>U553-T553</f>
        <v>0.10500000000000398</v>
      </c>
      <c r="W553" s="2" t="str">
        <f t="shared" si="135"/>
        <v>5:53:43</v>
      </c>
      <c r="X553" s="10">
        <v>3.3820000000000003E-2</v>
      </c>
      <c r="Y553" s="12">
        <f t="shared" si="136"/>
        <v>36.871180000000003</v>
      </c>
      <c r="Z553" s="10">
        <f>Y553-T553</f>
        <v>7.118000000000535E-2</v>
      </c>
      <c r="AA553" s="10">
        <f t="shared" si="137"/>
        <v>36.835589999999996</v>
      </c>
      <c r="AB553" s="10" t="s">
        <v>90</v>
      </c>
    </row>
    <row r="554" spans="1:28" ht="15" customHeight="1" x14ac:dyDescent="0.25">
      <c r="A554">
        <v>65</v>
      </c>
      <c r="B554" t="s">
        <v>41</v>
      </c>
      <c r="C554" t="s">
        <v>42</v>
      </c>
      <c r="D554" t="s">
        <v>13</v>
      </c>
      <c r="E554" t="s">
        <v>7</v>
      </c>
      <c r="F554" s="1">
        <v>44953</v>
      </c>
      <c r="G554" s="1">
        <v>45086</v>
      </c>
      <c r="H554">
        <f t="shared" si="126"/>
        <v>133</v>
      </c>
      <c r="I554" t="s">
        <v>36</v>
      </c>
      <c r="J554">
        <v>28.5</v>
      </c>
      <c r="K554">
        <v>147</v>
      </c>
      <c r="L554">
        <v>1</v>
      </c>
      <c r="M554">
        <v>3</v>
      </c>
      <c r="N554">
        <v>5</v>
      </c>
      <c r="O554" s="2">
        <v>33.89</v>
      </c>
      <c r="P554" s="3">
        <v>1.5185</v>
      </c>
      <c r="Q554" s="4">
        <v>0.481793981481482</v>
      </c>
      <c r="R554" s="4">
        <v>0.72743055555555547</v>
      </c>
      <c r="S554" s="2">
        <f t="shared" si="138"/>
        <v>36.852499999999999</v>
      </c>
      <c r="T554" s="13">
        <v>36.799999999999997</v>
      </c>
      <c r="U554" s="10">
        <v>36.905000000000001</v>
      </c>
      <c r="V554" s="2">
        <f>U554-T554</f>
        <v>0.10500000000000398</v>
      </c>
      <c r="W554" s="2" t="str">
        <f t="shared" si="135"/>
        <v>5:53:43</v>
      </c>
      <c r="X554" s="10">
        <v>3.3820000000000003E-2</v>
      </c>
      <c r="Y554" s="12">
        <f t="shared" si="136"/>
        <v>36.871180000000003</v>
      </c>
      <c r="Z554" s="10">
        <f>Y554-T554</f>
        <v>7.118000000000535E-2</v>
      </c>
      <c r="AA554" s="10">
        <f t="shared" si="137"/>
        <v>36.835589999999996</v>
      </c>
      <c r="AB554" s="10" t="s">
        <v>90</v>
      </c>
    </row>
    <row r="555" spans="1:28" ht="15" customHeight="1" x14ac:dyDescent="0.25">
      <c r="A555">
        <v>65</v>
      </c>
      <c r="B555" t="s">
        <v>41</v>
      </c>
      <c r="C555" t="s">
        <v>42</v>
      </c>
      <c r="D555" t="s">
        <v>13</v>
      </c>
      <c r="E555" t="s">
        <v>7</v>
      </c>
      <c r="F555" s="1">
        <v>44953</v>
      </c>
      <c r="G555" s="1">
        <v>45086</v>
      </c>
      <c r="H555">
        <f t="shared" si="126"/>
        <v>133</v>
      </c>
      <c r="I555" t="s">
        <v>37</v>
      </c>
      <c r="J555">
        <v>30</v>
      </c>
      <c r="K555">
        <v>232</v>
      </c>
      <c r="L555">
        <v>1</v>
      </c>
      <c r="M555">
        <v>3</v>
      </c>
      <c r="N555">
        <v>2</v>
      </c>
      <c r="O555" s="2">
        <v>28.05</v>
      </c>
      <c r="P555" s="3">
        <v>0.79790000000000005</v>
      </c>
      <c r="Q555" s="4">
        <v>0.481793981481482</v>
      </c>
      <c r="R555" s="4">
        <v>0.72743055555555547</v>
      </c>
      <c r="S555" s="2">
        <f t="shared" si="138"/>
        <v>36.852499999999999</v>
      </c>
      <c r="T555" s="13">
        <v>36.799999999999997</v>
      </c>
      <c r="U555" s="10">
        <v>36.905000000000001</v>
      </c>
      <c r="V555" s="2">
        <f>U555-T555</f>
        <v>0.10500000000000398</v>
      </c>
      <c r="W555" s="2" t="str">
        <f t="shared" si="135"/>
        <v>5:53:43</v>
      </c>
      <c r="X555" s="10">
        <v>3.3820000000000003E-2</v>
      </c>
      <c r="Y555" s="12">
        <f t="shared" si="136"/>
        <v>36.871180000000003</v>
      </c>
      <c r="Z555" s="10">
        <f>Y555-T555</f>
        <v>7.118000000000535E-2</v>
      </c>
      <c r="AA555" s="10">
        <f t="shared" si="137"/>
        <v>36.835589999999996</v>
      </c>
      <c r="AB555" s="10" t="s">
        <v>90</v>
      </c>
    </row>
    <row r="556" spans="1:28" ht="15" customHeight="1" x14ac:dyDescent="0.25">
      <c r="A556">
        <v>65</v>
      </c>
      <c r="B556" t="s">
        <v>41</v>
      </c>
      <c r="C556" t="s">
        <v>42</v>
      </c>
      <c r="D556" t="s">
        <v>13</v>
      </c>
      <c r="E556" t="s">
        <v>7</v>
      </c>
      <c r="F556" s="1">
        <v>44953</v>
      </c>
      <c r="G556" s="1">
        <v>45086</v>
      </c>
      <c r="H556">
        <f t="shared" si="126"/>
        <v>133</v>
      </c>
      <c r="I556" t="s">
        <v>37</v>
      </c>
      <c r="J556">
        <v>30</v>
      </c>
      <c r="K556">
        <v>232</v>
      </c>
      <c r="L556">
        <v>1</v>
      </c>
      <c r="M556">
        <v>3</v>
      </c>
      <c r="N556">
        <v>5</v>
      </c>
      <c r="O556" s="2">
        <v>37.58</v>
      </c>
      <c r="P556" s="3">
        <v>2.1318000000000001</v>
      </c>
      <c r="Q556" s="4">
        <v>0.481793981481482</v>
      </c>
      <c r="R556" s="4">
        <v>0.72743055555555547</v>
      </c>
      <c r="S556" s="2">
        <f t="shared" si="138"/>
        <v>36.852499999999999</v>
      </c>
      <c r="T556" s="13">
        <v>36.799999999999997</v>
      </c>
      <c r="U556" s="10">
        <v>36.905000000000001</v>
      </c>
      <c r="V556" s="2">
        <f>U556-T556</f>
        <v>0.10500000000000398</v>
      </c>
      <c r="W556" s="2" t="str">
        <f t="shared" si="135"/>
        <v>5:53:43</v>
      </c>
      <c r="X556" s="10">
        <v>3.3820000000000003E-2</v>
      </c>
      <c r="Y556" s="12">
        <f t="shared" si="136"/>
        <v>36.871180000000003</v>
      </c>
      <c r="Z556" s="10">
        <f>Y556-T556</f>
        <v>7.118000000000535E-2</v>
      </c>
      <c r="AA556" s="10">
        <f t="shared" si="137"/>
        <v>36.835589999999996</v>
      </c>
      <c r="AB556" s="10" t="s">
        <v>90</v>
      </c>
    </row>
    <row r="557" spans="1:28" ht="15" customHeight="1" x14ac:dyDescent="0.25">
      <c r="A557">
        <v>101</v>
      </c>
      <c r="B557" t="s">
        <v>41</v>
      </c>
      <c r="C557" t="s">
        <v>42</v>
      </c>
      <c r="D557" t="s">
        <v>13</v>
      </c>
      <c r="E557" t="s">
        <v>7</v>
      </c>
      <c r="F557" s="1">
        <v>44982</v>
      </c>
      <c r="G557" s="1">
        <v>45120</v>
      </c>
      <c r="H557">
        <f t="shared" si="126"/>
        <v>138</v>
      </c>
      <c r="I557" t="s">
        <v>36</v>
      </c>
      <c r="J557">
        <v>28.5</v>
      </c>
      <c r="K557">
        <v>339</v>
      </c>
      <c r="L557">
        <v>1</v>
      </c>
      <c r="M557">
        <v>1</v>
      </c>
      <c r="N557">
        <v>5</v>
      </c>
      <c r="O557" s="2">
        <v>25.76</v>
      </c>
      <c r="P557" s="3">
        <v>1.7833000000000001</v>
      </c>
      <c r="Q557" s="4">
        <v>0.493229166666667</v>
      </c>
      <c r="R557" s="4">
        <v>0.73749999999999993</v>
      </c>
      <c r="T557" s="13"/>
      <c r="U557" s="10">
        <v>36.905000000000001</v>
      </c>
      <c r="V557" s="2"/>
      <c r="W557" s="2" t="str">
        <f t="shared" si="135"/>
        <v>5:51:45</v>
      </c>
      <c r="X557" s="10">
        <v>6.8000000000000005E-2</v>
      </c>
      <c r="Y557" s="12">
        <f t="shared" si="136"/>
        <v>36.837000000000003</v>
      </c>
      <c r="AA557" s="10">
        <f t="shared" si="137"/>
        <v>36.837000000000003</v>
      </c>
      <c r="AB557" s="10" t="s">
        <v>90</v>
      </c>
    </row>
    <row r="558" spans="1:28" ht="15" customHeight="1" x14ac:dyDescent="0.25">
      <c r="A558">
        <v>101</v>
      </c>
      <c r="B558" t="s">
        <v>41</v>
      </c>
      <c r="C558" t="s">
        <v>42</v>
      </c>
      <c r="D558" t="s">
        <v>13</v>
      </c>
      <c r="E558" t="s">
        <v>7</v>
      </c>
      <c r="F558" s="1">
        <v>44982</v>
      </c>
      <c r="G558" s="1">
        <v>45120</v>
      </c>
      <c r="H558">
        <f t="shared" si="126"/>
        <v>138</v>
      </c>
      <c r="I558" t="s">
        <v>36</v>
      </c>
      <c r="J558">
        <v>28.5</v>
      </c>
      <c r="K558">
        <v>339</v>
      </c>
      <c r="L558">
        <v>1</v>
      </c>
      <c r="M558">
        <v>1</v>
      </c>
      <c r="N558">
        <v>4</v>
      </c>
      <c r="O558" s="2">
        <v>36.92</v>
      </c>
      <c r="P558" s="3">
        <v>1.8857999999999999</v>
      </c>
      <c r="Q558" s="4">
        <v>0.493229166666667</v>
      </c>
      <c r="R558" s="4">
        <v>0.73749999999999993</v>
      </c>
      <c r="T558" s="13"/>
      <c r="U558" s="10">
        <v>36.905000000000001</v>
      </c>
      <c r="V558" s="2"/>
      <c r="W558" s="2" t="str">
        <f t="shared" si="135"/>
        <v>5:51:45</v>
      </c>
      <c r="X558" s="10">
        <v>6.8000000000000005E-2</v>
      </c>
      <c r="Y558" s="12">
        <f t="shared" si="136"/>
        <v>36.837000000000003</v>
      </c>
      <c r="AA558" s="10">
        <f t="shared" si="137"/>
        <v>36.837000000000003</v>
      </c>
      <c r="AB558" s="10" t="s">
        <v>90</v>
      </c>
    </row>
    <row r="559" spans="1:28" ht="15" customHeight="1" x14ac:dyDescent="0.25">
      <c r="A559">
        <v>101</v>
      </c>
      <c r="B559" t="s">
        <v>41</v>
      </c>
      <c r="C559" t="s">
        <v>42</v>
      </c>
      <c r="D559" t="s">
        <v>13</v>
      </c>
      <c r="E559" t="s">
        <v>7</v>
      </c>
      <c r="F559" s="1">
        <v>44982</v>
      </c>
      <c r="G559" s="1">
        <v>45120</v>
      </c>
      <c r="H559">
        <f t="shared" si="126"/>
        <v>138</v>
      </c>
      <c r="I559" t="s">
        <v>37</v>
      </c>
      <c r="J559">
        <v>30</v>
      </c>
      <c r="K559">
        <v>135</v>
      </c>
      <c r="L559">
        <v>2</v>
      </c>
      <c r="M559">
        <v>1</v>
      </c>
      <c r="N559">
        <v>5</v>
      </c>
      <c r="O559" s="2">
        <v>33.94</v>
      </c>
      <c r="P559" s="3">
        <v>1.5099</v>
      </c>
      <c r="Q559" s="4">
        <v>0.493229166666667</v>
      </c>
      <c r="R559" s="4">
        <v>0.73749999999999993</v>
      </c>
      <c r="T559" s="13"/>
      <c r="U559" s="10">
        <v>36.905000000000001</v>
      </c>
      <c r="V559" s="2"/>
      <c r="W559" s="2" t="str">
        <f t="shared" si="135"/>
        <v>5:51:45</v>
      </c>
      <c r="X559" s="10">
        <v>6.8000000000000005E-2</v>
      </c>
      <c r="Y559" s="12">
        <f t="shared" si="136"/>
        <v>36.837000000000003</v>
      </c>
      <c r="AA559" s="10">
        <f t="shared" si="137"/>
        <v>36.837000000000003</v>
      </c>
      <c r="AB559" s="10" t="s">
        <v>90</v>
      </c>
    </row>
    <row r="560" spans="1:28" ht="15" customHeight="1" x14ac:dyDescent="0.25">
      <c r="A560">
        <v>101</v>
      </c>
      <c r="B560" t="s">
        <v>41</v>
      </c>
      <c r="C560" t="s">
        <v>42</v>
      </c>
      <c r="D560" t="s">
        <v>13</v>
      </c>
      <c r="E560" t="s">
        <v>7</v>
      </c>
      <c r="F560" s="1">
        <v>44982</v>
      </c>
      <c r="G560" s="1">
        <v>45119</v>
      </c>
      <c r="H560">
        <f t="shared" si="126"/>
        <v>137</v>
      </c>
      <c r="I560" t="s">
        <v>37</v>
      </c>
      <c r="J560">
        <v>30</v>
      </c>
      <c r="K560">
        <v>248</v>
      </c>
      <c r="L560">
        <v>1</v>
      </c>
      <c r="M560">
        <v>3</v>
      </c>
      <c r="N560">
        <v>2</v>
      </c>
      <c r="O560" s="2">
        <v>28.73</v>
      </c>
      <c r="P560" s="3">
        <v>0.90720000000000001</v>
      </c>
      <c r="Q560" s="4">
        <v>0.50962962962962999</v>
      </c>
      <c r="R560" s="4">
        <v>0.75694444444444453</v>
      </c>
      <c r="T560" s="13"/>
      <c r="U560" s="10">
        <v>36.96</v>
      </c>
      <c r="V560" s="2"/>
      <c r="W560" s="2" t="str">
        <f t="shared" si="135"/>
        <v>5:56:08</v>
      </c>
      <c r="X560" s="10">
        <v>8.0199999999999994E-2</v>
      </c>
      <c r="Y560" s="12">
        <f t="shared" si="136"/>
        <v>36.879800000000003</v>
      </c>
      <c r="AA560" s="10">
        <f t="shared" si="137"/>
        <v>36.879800000000003</v>
      </c>
      <c r="AB560" s="10" t="s">
        <v>90</v>
      </c>
    </row>
    <row r="561" spans="1:28" ht="15" customHeight="1" x14ac:dyDescent="0.25">
      <c r="A561">
        <v>101</v>
      </c>
      <c r="B561" t="s">
        <v>41</v>
      </c>
      <c r="C561" t="s">
        <v>42</v>
      </c>
      <c r="D561" t="s">
        <v>13</v>
      </c>
      <c r="E561" t="s">
        <v>7</v>
      </c>
      <c r="F561" s="1">
        <v>44982</v>
      </c>
      <c r="G561" s="1">
        <v>45119</v>
      </c>
      <c r="H561">
        <f t="shared" si="126"/>
        <v>137</v>
      </c>
      <c r="I561" t="s">
        <v>37</v>
      </c>
      <c r="J561">
        <v>30</v>
      </c>
      <c r="K561">
        <v>248</v>
      </c>
      <c r="L561">
        <v>1</v>
      </c>
      <c r="M561">
        <v>3</v>
      </c>
      <c r="N561">
        <v>5</v>
      </c>
      <c r="O561" s="2">
        <v>29.85</v>
      </c>
      <c r="P561" s="3">
        <v>1.0149999999999999</v>
      </c>
      <c r="Q561" s="4">
        <v>0.50962962962962999</v>
      </c>
      <c r="R561" s="4">
        <v>0.75694444444444453</v>
      </c>
      <c r="T561" s="13"/>
      <c r="U561" s="10">
        <v>36.96</v>
      </c>
      <c r="V561" s="2"/>
      <c r="W561" s="2" t="str">
        <f t="shared" si="135"/>
        <v>5:56:08</v>
      </c>
      <c r="X561" s="10">
        <v>8.0199999999999994E-2</v>
      </c>
      <c r="Y561" s="12">
        <f t="shared" si="136"/>
        <v>36.879800000000003</v>
      </c>
      <c r="AA561" s="10">
        <f t="shared" si="137"/>
        <v>36.879800000000003</v>
      </c>
      <c r="AB561" s="10" t="s">
        <v>90</v>
      </c>
    </row>
    <row r="562" spans="1:28" ht="15" customHeight="1" x14ac:dyDescent="0.25">
      <c r="A562">
        <v>101</v>
      </c>
      <c r="B562" t="s">
        <v>41</v>
      </c>
      <c r="C562" t="s">
        <v>42</v>
      </c>
      <c r="D562" t="s">
        <v>13</v>
      </c>
      <c r="E562" t="s">
        <v>7</v>
      </c>
      <c r="F562" s="1">
        <v>44982</v>
      </c>
      <c r="G562" s="1">
        <v>45117</v>
      </c>
      <c r="H562">
        <f t="shared" si="126"/>
        <v>135</v>
      </c>
      <c r="J562">
        <v>30</v>
      </c>
      <c r="K562">
        <v>248</v>
      </c>
      <c r="L562">
        <v>1</v>
      </c>
      <c r="O562" s="2">
        <v>36.840000000000003</v>
      </c>
      <c r="P562" s="3">
        <v>1.9722</v>
      </c>
      <c r="Q562" s="4">
        <v>0.55208333333333304</v>
      </c>
      <c r="R562" s="4">
        <v>0.81319444444444444</v>
      </c>
      <c r="S562" s="2"/>
      <c r="T562" s="13"/>
      <c r="V562" s="10"/>
      <c r="W562" s="2" t="str">
        <f t="shared" si="135"/>
        <v>6:16:00</v>
      </c>
      <c r="Y562" s="12"/>
      <c r="AA562" s="10">
        <v>36.89</v>
      </c>
      <c r="AB562" s="10" t="s">
        <v>91</v>
      </c>
    </row>
    <row r="563" spans="1:28" ht="15" customHeight="1" x14ac:dyDescent="0.25">
      <c r="A563">
        <v>101</v>
      </c>
      <c r="B563" t="s">
        <v>41</v>
      </c>
      <c r="C563" t="s">
        <v>42</v>
      </c>
      <c r="D563" t="s">
        <v>13</v>
      </c>
      <c r="E563" t="s">
        <v>7</v>
      </c>
      <c r="F563" s="1">
        <v>44982</v>
      </c>
      <c r="G563" s="1">
        <v>45120</v>
      </c>
      <c r="H563">
        <f t="shared" si="126"/>
        <v>138</v>
      </c>
      <c r="I563" t="s">
        <v>38</v>
      </c>
      <c r="J563">
        <v>31.5</v>
      </c>
      <c r="K563">
        <v>160</v>
      </c>
      <c r="L563">
        <v>2</v>
      </c>
      <c r="M563">
        <v>1</v>
      </c>
      <c r="N563">
        <v>4</v>
      </c>
      <c r="O563" s="2">
        <v>29.07</v>
      </c>
      <c r="P563" s="3">
        <v>1.0535000000000001</v>
      </c>
      <c r="Q563" s="4">
        <v>0.493229166666667</v>
      </c>
      <c r="R563" s="4">
        <v>0.73611111111111116</v>
      </c>
      <c r="T563" s="13">
        <v>37</v>
      </c>
      <c r="U563" s="10">
        <v>36.878</v>
      </c>
      <c r="V563" s="2">
        <f>U563-T563</f>
        <v>-0.12199999999999989</v>
      </c>
      <c r="W563" s="2" t="str">
        <f t="shared" si="135"/>
        <v>5:49:45</v>
      </c>
      <c r="X563" s="10">
        <v>6.8000000000000005E-2</v>
      </c>
      <c r="Y563" s="12">
        <f>U563-X563</f>
        <v>36.81</v>
      </c>
      <c r="Z563" s="11">
        <f>Y563-T563</f>
        <v>-0.18999999999999773</v>
      </c>
      <c r="AA563" s="10">
        <f>AVERAGE(Y563,T563)</f>
        <v>36.905000000000001</v>
      </c>
      <c r="AB563" s="10" t="s">
        <v>90</v>
      </c>
    </row>
    <row r="564" spans="1:28" ht="15" customHeight="1" x14ac:dyDescent="0.25">
      <c r="A564">
        <v>101</v>
      </c>
      <c r="B564" t="s">
        <v>41</v>
      </c>
      <c r="C564" t="s">
        <v>42</v>
      </c>
      <c r="D564" t="s">
        <v>13</v>
      </c>
      <c r="E564" t="s">
        <v>7</v>
      </c>
      <c r="F564" s="1">
        <v>44982</v>
      </c>
      <c r="G564" s="1">
        <v>45120</v>
      </c>
      <c r="H564">
        <f t="shared" si="126"/>
        <v>138</v>
      </c>
      <c r="I564" t="s">
        <v>38</v>
      </c>
      <c r="J564">
        <v>31.5</v>
      </c>
      <c r="K564">
        <v>160</v>
      </c>
      <c r="L564">
        <v>2</v>
      </c>
      <c r="M564">
        <v>1</v>
      </c>
      <c r="N564">
        <v>5</v>
      </c>
      <c r="O564" s="2">
        <v>31.72</v>
      </c>
      <c r="P564" s="3">
        <v>1.3613</v>
      </c>
      <c r="Q564" s="4">
        <v>0.493229166666667</v>
      </c>
      <c r="R564" s="4">
        <v>0.73611111111111116</v>
      </c>
      <c r="T564" s="13">
        <v>37</v>
      </c>
      <c r="U564" s="10">
        <v>36.878</v>
      </c>
      <c r="V564" s="2">
        <f>U564-T564</f>
        <v>-0.12199999999999989</v>
      </c>
      <c r="W564" s="2" t="str">
        <f t="shared" ref="W564:W570" si="139">TEXT(R564-Q564,"h:mm:ss")</f>
        <v>5:49:45</v>
      </c>
      <c r="X564" s="10">
        <v>6.8000000000000005E-2</v>
      </c>
      <c r="Y564" s="12">
        <f>U564-X564</f>
        <v>36.81</v>
      </c>
      <c r="Z564" s="11">
        <f>Y564-T564</f>
        <v>-0.18999999999999773</v>
      </c>
      <c r="AA564" s="10">
        <f>AVERAGE(Y564,T564)</f>
        <v>36.905000000000001</v>
      </c>
      <c r="AB564" s="10" t="s">
        <v>90</v>
      </c>
    </row>
    <row r="565" spans="1:28" ht="15" customHeight="1" x14ac:dyDescent="0.25">
      <c r="A565">
        <v>101</v>
      </c>
      <c r="B565" t="s">
        <v>41</v>
      </c>
      <c r="C565" t="s">
        <v>42</v>
      </c>
      <c r="D565" t="s">
        <v>13</v>
      </c>
      <c r="E565" t="s">
        <v>7</v>
      </c>
      <c r="F565" s="1">
        <v>44982</v>
      </c>
      <c r="G565" s="1">
        <v>45121</v>
      </c>
      <c r="H565">
        <f t="shared" si="126"/>
        <v>139</v>
      </c>
      <c r="J565">
        <v>31.5</v>
      </c>
      <c r="K565">
        <v>226</v>
      </c>
      <c r="L565">
        <v>2</v>
      </c>
      <c r="O565" s="2">
        <v>31.76</v>
      </c>
      <c r="P565" s="3">
        <v>1.3216000000000001</v>
      </c>
      <c r="Q565" s="4">
        <v>0.47916666666666702</v>
      </c>
      <c r="R565" s="4">
        <v>0.73125000000000007</v>
      </c>
      <c r="S565" s="2"/>
      <c r="T565" s="13"/>
      <c r="V565" s="10"/>
      <c r="W565" s="2" t="str">
        <f t="shared" si="139"/>
        <v>6:03:00</v>
      </c>
      <c r="Y565" s="12"/>
      <c r="AA565" s="10">
        <v>36.909999999999997</v>
      </c>
      <c r="AB565" s="10" t="s">
        <v>91</v>
      </c>
    </row>
    <row r="566" spans="1:28" ht="15" customHeight="1" x14ac:dyDescent="0.25">
      <c r="A566">
        <v>65</v>
      </c>
      <c r="B566" t="s">
        <v>41</v>
      </c>
      <c r="C566" t="s">
        <v>42</v>
      </c>
      <c r="D566" t="s">
        <v>13</v>
      </c>
      <c r="E566" t="s">
        <v>7</v>
      </c>
      <c r="F566" s="1">
        <v>44953</v>
      </c>
      <c r="G566" s="1">
        <v>45086</v>
      </c>
      <c r="H566">
        <f t="shared" si="126"/>
        <v>133</v>
      </c>
      <c r="I566" t="s">
        <v>36</v>
      </c>
      <c r="J566">
        <v>28.5</v>
      </c>
      <c r="K566">
        <v>147</v>
      </c>
      <c r="L566">
        <v>1</v>
      </c>
      <c r="M566">
        <v>3</v>
      </c>
      <c r="N566">
        <v>2</v>
      </c>
      <c r="O566" s="2">
        <v>31.3</v>
      </c>
      <c r="P566" s="3">
        <v>1.2248000000000001</v>
      </c>
      <c r="Q566" s="4">
        <v>0.481793981481482</v>
      </c>
      <c r="R566" s="4">
        <v>0.73263888888888884</v>
      </c>
      <c r="S566" s="2">
        <f>AVERAGE(T566:U566)</f>
        <v>36.932500000000005</v>
      </c>
      <c r="T566" s="13">
        <v>36.85</v>
      </c>
      <c r="U566" s="10">
        <v>37.015000000000001</v>
      </c>
      <c r="V566" s="8">
        <f>U566-T566</f>
        <v>0.16499999999999915</v>
      </c>
      <c r="W566" s="2" t="str">
        <f t="shared" si="139"/>
        <v>6:01:13</v>
      </c>
      <c r="X566" s="10">
        <v>3.3820000000000003E-2</v>
      </c>
      <c r="Y566" s="12">
        <f>U566-X566</f>
        <v>36.981180000000002</v>
      </c>
      <c r="Z566" s="10">
        <f>Y566-T566</f>
        <v>0.13118000000000052</v>
      </c>
      <c r="AA566" s="10">
        <f>AVERAGE(Y566,T566)</f>
        <v>36.915590000000002</v>
      </c>
      <c r="AB566" s="10" t="s">
        <v>90</v>
      </c>
    </row>
    <row r="567" spans="1:28" ht="15" customHeight="1" x14ac:dyDescent="0.25">
      <c r="A567">
        <v>65</v>
      </c>
      <c r="B567" t="s">
        <v>41</v>
      </c>
      <c r="C567" t="s">
        <v>42</v>
      </c>
      <c r="D567" t="s">
        <v>13</v>
      </c>
      <c r="E567" t="s">
        <v>7</v>
      </c>
      <c r="F567" s="1">
        <v>44953</v>
      </c>
      <c r="G567" s="1">
        <v>45086</v>
      </c>
      <c r="H567">
        <f t="shared" si="126"/>
        <v>133</v>
      </c>
      <c r="I567" t="s">
        <v>36</v>
      </c>
      <c r="J567">
        <v>28.5</v>
      </c>
      <c r="K567">
        <v>147</v>
      </c>
      <c r="L567">
        <v>1</v>
      </c>
      <c r="M567">
        <v>3</v>
      </c>
      <c r="N567">
        <v>4</v>
      </c>
      <c r="O567" s="2">
        <v>33.11</v>
      </c>
      <c r="P567" s="3">
        <v>1.4584999999999999</v>
      </c>
      <c r="Q567" s="4">
        <v>0.481793981481482</v>
      </c>
      <c r="R567" s="4">
        <v>0.73263888888888884</v>
      </c>
      <c r="S567" s="2">
        <f>AVERAGE(T567:U567)</f>
        <v>36.932500000000005</v>
      </c>
      <c r="T567" s="13">
        <v>36.85</v>
      </c>
      <c r="U567" s="10">
        <v>37.015000000000001</v>
      </c>
      <c r="V567" s="8">
        <f>U567-T567</f>
        <v>0.16499999999999915</v>
      </c>
      <c r="W567" s="2" t="str">
        <f t="shared" si="139"/>
        <v>6:01:13</v>
      </c>
      <c r="X567" s="10">
        <v>3.3820000000000003E-2</v>
      </c>
      <c r="Y567" s="12">
        <f>U567-X567</f>
        <v>36.981180000000002</v>
      </c>
      <c r="Z567" s="10">
        <f>Y567-T567</f>
        <v>0.13118000000000052</v>
      </c>
      <c r="AA567" s="10">
        <f>AVERAGE(Y567,T567)</f>
        <v>36.915590000000002</v>
      </c>
      <c r="AB567" s="10" t="s">
        <v>90</v>
      </c>
    </row>
    <row r="568" spans="1:28" ht="15" customHeight="1" x14ac:dyDescent="0.25">
      <c r="A568">
        <v>65</v>
      </c>
      <c r="B568" t="s">
        <v>41</v>
      </c>
      <c r="C568" t="s">
        <v>42</v>
      </c>
      <c r="D568" t="s">
        <v>13</v>
      </c>
      <c r="E568" t="s">
        <v>7</v>
      </c>
      <c r="F568" s="1">
        <v>44953</v>
      </c>
      <c r="G568" s="1">
        <v>45086</v>
      </c>
      <c r="H568">
        <f t="shared" si="126"/>
        <v>133</v>
      </c>
      <c r="I568" t="s">
        <v>37</v>
      </c>
      <c r="J568">
        <v>30</v>
      </c>
      <c r="K568">
        <v>232</v>
      </c>
      <c r="L568">
        <v>1</v>
      </c>
      <c r="M568">
        <v>3</v>
      </c>
      <c r="N568">
        <v>1</v>
      </c>
      <c r="O568" s="2">
        <v>34.07</v>
      </c>
      <c r="P568" s="3">
        <v>1.5577000000000001</v>
      </c>
      <c r="Q568" s="4">
        <v>0.481793981481482</v>
      </c>
      <c r="R568" s="4">
        <v>0.73263888888888884</v>
      </c>
      <c r="S568" s="2">
        <f>AVERAGE(T568:U568)</f>
        <v>36.932500000000005</v>
      </c>
      <c r="T568" s="13">
        <v>36.85</v>
      </c>
      <c r="U568" s="10">
        <v>37.015000000000001</v>
      </c>
      <c r="V568" s="8">
        <f>U568-T568</f>
        <v>0.16499999999999915</v>
      </c>
      <c r="W568" s="2" t="str">
        <f t="shared" si="139"/>
        <v>6:01:13</v>
      </c>
      <c r="X568" s="10">
        <v>3.3820000000000003E-2</v>
      </c>
      <c r="Y568" s="12">
        <f>U568-X568</f>
        <v>36.981180000000002</v>
      </c>
      <c r="Z568" s="10">
        <f>Y568-T568</f>
        <v>0.13118000000000052</v>
      </c>
      <c r="AA568" s="10">
        <f>AVERAGE(Y568,T568)</f>
        <v>36.915590000000002</v>
      </c>
      <c r="AB568" s="10" t="s">
        <v>90</v>
      </c>
    </row>
    <row r="569" spans="1:28" ht="15" customHeight="1" x14ac:dyDescent="0.25">
      <c r="A569">
        <v>101</v>
      </c>
      <c r="B569" t="s">
        <v>41</v>
      </c>
      <c r="C569" t="s">
        <v>42</v>
      </c>
      <c r="D569" t="s">
        <v>13</v>
      </c>
      <c r="E569" t="s">
        <v>7</v>
      </c>
      <c r="F569" s="1">
        <v>44982</v>
      </c>
      <c r="G569" s="1">
        <v>45120</v>
      </c>
      <c r="H569">
        <f t="shared" si="126"/>
        <v>138</v>
      </c>
      <c r="I569" t="s">
        <v>36</v>
      </c>
      <c r="J569">
        <v>28.5</v>
      </c>
      <c r="K569">
        <v>339</v>
      </c>
      <c r="L569">
        <v>1</v>
      </c>
      <c r="M569">
        <v>1</v>
      </c>
      <c r="N569">
        <v>3</v>
      </c>
      <c r="O569" s="2">
        <v>34.840000000000003</v>
      </c>
      <c r="P569" s="3">
        <v>1.6918</v>
      </c>
      <c r="Q569" s="4">
        <v>0.493229166666667</v>
      </c>
      <c r="R569" s="4">
        <v>0.7402777777777777</v>
      </c>
      <c r="T569" s="13"/>
      <c r="U569" s="10">
        <v>36.987000000000002</v>
      </c>
      <c r="V569" s="2"/>
      <c r="W569" s="2" t="str">
        <f t="shared" si="139"/>
        <v>5:55:45</v>
      </c>
      <c r="X569" s="10">
        <v>6.8000000000000005E-2</v>
      </c>
      <c r="Y569" s="12">
        <f>U569-X569</f>
        <v>36.919000000000004</v>
      </c>
      <c r="AA569" s="10">
        <f>AVERAGE(Y569,T569)</f>
        <v>36.919000000000004</v>
      </c>
      <c r="AB569" s="10" t="s">
        <v>90</v>
      </c>
    </row>
    <row r="570" spans="1:28" ht="15" customHeight="1" x14ac:dyDescent="0.25">
      <c r="A570">
        <v>101</v>
      </c>
      <c r="B570" t="s">
        <v>41</v>
      </c>
      <c r="C570" t="s">
        <v>42</v>
      </c>
      <c r="D570" t="s">
        <v>13</v>
      </c>
      <c r="E570" t="s">
        <v>7</v>
      </c>
      <c r="F570" s="1">
        <v>44982</v>
      </c>
      <c r="G570" s="1">
        <v>45120</v>
      </c>
      <c r="H570">
        <f t="shared" si="126"/>
        <v>138</v>
      </c>
      <c r="I570" t="s">
        <v>37</v>
      </c>
      <c r="J570">
        <v>30</v>
      </c>
      <c r="K570">
        <v>135</v>
      </c>
      <c r="L570">
        <v>2</v>
      </c>
      <c r="M570">
        <v>1</v>
      </c>
      <c r="N570">
        <v>3</v>
      </c>
      <c r="O570" s="2">
        <v>37.99</v>
      </c>
      <c r="P570" s="3">
        <v>2.0783999999999998</v>
      </c>
      <c r="Q570" s="4">
        <v>0.493229166666667</v>
      </c>
      <c r="R570" s="4">
        <v>0.7402777777777777</v>
      </c>
      <c r="T570" s="13"/>
      <c r="U570" s="10">
        <v>36.987000000000002</v>
      </c>
      <c r="V570" s="2"/>
      <c r="W570" s="2" t="str">
        <f t="shared" si="139"/>
        <v>5:55:45</v>
      </c>
      <c r="X570" s="10">
        <v>6.8000000000000005E-2</v>
      </c>
      <c r="Y570" s="12">
        <f>U570-X570</f>
        <v>36.919000000000004</v>
      </c>
      <c r="AA570" s="10">
        <f>AVERAGE(Y570,T570)</f>
        <v>36.919000000000004</v>
      </c>
      <c r="AB570" s="10" t="s">
        <v>90</v>
      </c>
    </row>
    <row r="571" spans="1:28" ht="15" customHeight="1" x14ac:dyDescent="0.25">
      <c r="A571">
        <v>65</v>
      </c>
      <c r="B571" t="s">
        <v>41</v>
      </c>
      <c r="C571" t="s">
        <v>42</v>
      </c>
      <c r="D571" t="s">
        <v>13</v>
      </c>
      <c r="E571" t="s">
        <v>7</v>
      </c>
      <c r="F571" s="1">
        <v>44953</v>
      </c>
      <c r="G571" s="1">
        <v>45086</v>
      </c>
      <c r="H571">
        <f t="shared" si="126"/>
        <v>133</v>
      </c>
      <c r="J571">
        <v>31.5</v>
      </c>
      <c r="K571">
        <v>126</v>
      </c>
      <c r="L571">
        <v>2</v>
      </c>
      <c r="O571" s="2">
        <v>32.369999999999997</v>
      </c>
      <c r="P571" s="3">
        <v>1.4326000000000001</v>
      </c>
      <c r="Q571" s="4">
        <v>0.481793981481482</v>
      </c>
      <c r="R571" s="4">
        <v>0.72569444444444453</v>
      </c>
      <c r="S571" s="2">
        <v>36.93</v>
      </c>
      <c r="T571" s="13"/>
      <c r="V571" s="10"/>
      <c r="W571" s="10"/>
      <c r="Y571" s="12"/>
      <c r="AA571" s="10">
        <v>36.93</v>
      </c>
      <c r="AB571" s="10" t="s">
        <v>91</v>
      </c>
    </row>
    <row r="572" spans="1:28" ht="15" customHeight="1" x14ac:dyDescent="0.25">
      <c r="A572">
        <v>65</v>
      </c>
      <c r="B572" t="s">
        <v>41</v>
      </c>
      <c r="C572" t="s">
        <v>42</v>
      </c>
      <c r="D572" t="s">
        <v>13</v>
      </c>
      <c r="E572" t="s">
        <v>7</v>
      </c>
      <c r="F572" s="1">
        <v>44953</v>
      </c>
      <c r="G572" s="1">
        <v>45083</v>
      </c>
      <c r="H572">
        <f t="shared" si="126"/>
        <v>130</v>
      </c>
      <c r="I572" t="s">
        <v>36</v>
      </c>
      <c r="J572">
        <v>28.5</v>
      </c>
      <c r="K572">
        <v>341</v>
      </c>
      <c r="L572">
        <v>2</v>
      </c>
      <c r="M572">
        <v>5</v>
      </c>
      <c r="N572">
        <v>1</v>
      </c>
      <c r="O572" s="2">
        <v>32.75</v>
      </c>
      <c r="P572" s="3">
        <v>1.3322000000000001</v>
      </c>
      <c r="Q572" s="4">
        <v>0.44003472222222201</v>
      </c>
      <c r="R572" s="4">
        <v>0.71527777777777779</v>
      </c>
      <c r="S572" s="2">
        <f>AVERAGE(T572:U572)</f>
        <v>37.042000000000002</v>
      </c>
      <c r="T572" s="13"/>
      <c r="U572" s="10">
        <v>37.042000000000002</v>
      </c>
      <c r="V572" s="2"/>
      <c r="W572" s="2" t="str">
        <f t="shared" ref="W572:W611" si="140">TEXT(R572-Q572,"h:mm:ss")</f>
        <v>6:36:21</v>
      </c>
      <c r="X572" s="10">
        <v>0.10340000000000001</v>
      </c>
      <c r="Y572" s="12">
        <f>U572-X572</f>
        <v>36.938600000000001</v>
      </c>
      <c r="AA572" s="10">
        <f>AVERAGE(Y572,T572)</f>
        <v>36.938600000000001</v>
      </c>
      <c r="AB572" s="10" t="s">
        <v>90</v>
      </c>
    </row>
    <row r="573" spans="1:28" ht="15" customHeight="1" x14ac:dyDescent="0.25">
      <c r="A573">
        <v>65</v>
      </c>
      <c r="B573" t="s">
        <v>41</v>
      </c>
      <c r="C573" t="s">
        <v>42</v>
      </c>
      <c r="D573" t="s">
        <v>13</v>
      </c>
      <c r="E573" t="s">
        <v>7</v>
      </c>
      <c r="F573" s="1">
        <v>44953</v>
      </c>
      <c r="G573" s="1">
        <v>45083</v>
      </c>
      <c r="H573">
        <f t="shared" si="126"/>
        <v>130</v>
      </c>
      <c r="I573" t="s">
        <v>36</v>
      </c>
      <c r="J573">
        <v>28.5</v>
      </c>
      <c r="K573">
        <v>341</v>
      </c>
      <c r="L573">
        <v>2</v>
      </c>
      <c r="M573">
        <v>5</v>
      </c>
      <c r="N573">
        <v>2</v>
      </c>
      <c r="O573" s="2">
        <v>38.94</v>
      </c>
      <c r="P573" s="3">
        <v>2.1591</v>
      </c>
      <c r="Q573" s="4">
        <v>0.44003472222222201</v>
      </c>
      <c r="R573" s="4">
        <v>0.71527777777777779</v>
      </c>
      <c r="S573" s="2">
        <f>AVERAGE(T573:U573)</f>
        <v>37.042000000000002</v>
      </c>
      <c r="T573" s="13"/>
      <c r="U573" s="10">
        <v>37.042000000000002</v>
      </c>
      <c r="V573" s="2"/>
      <c r="W573" s="2" t="str">
        <f t="shared" si="140"/>
        <v>6:36:21</v>
      </c>
      <c r="X573" s="10">
        <v>0.10340000000000001</v>
      </c>
      <c r="Y573" s="12">
        <f>U573-X573</f>
        <v>36.938600000000001</v>
      </c>
      <c r="AA573" s="10">
        <f>AVERAGE(Y573,T573)</f>
        <v>36.938600000000001</v>
      </c>
      <c r="AB573" s="10" t="s">
        <v>90</v>
      </c>
    </row>
    <row r="574" spans="1:28" ht="15" customHeight="1" x14ac:dyDescent="0.25">
      <c r="A574">
        <v>65</v>
      </c>
      <c r="B574" t="s">
        <v>41</v>
      </c>
      <c r="C574" t="s">
        <v>42</v>
      </c>
      <c r="D574" t="s">
        <v>13</v>
      </c>
      <c r="E574" t="s">
        <v>7</v>
      </c>
      <c r="F574" s="1">
        <v>44953</v>
      </c>
      <c r="G574" s="1">
        <v>45087</v>
      </c>
      <c r="H574">
        <f t="shared" si="126"/>
        <v>134</v>
      </c>
      <c r="J574">
        <v>28.5</v>
      </c>
      <c r="K574">
        <v>341</v>
      </c>
      <c r="L574">
        <v>2</v>
      </c>
      <c r="O574" s="2">
        <v>35.770000000000003</v>
      </c>
      <c r="P574" s="3">
        <v>1.7416</v>
      </c>
      <c r="Q574" s="4">
        <v>0.51041666666666696</v>
      </c>
      <c r="R574" s="4">
        <v>0.75694444444444497</v>
      </c>
      <c r="S574" s="2"/>
      <c r="T574" s="13"/>
      <c r="V574" s="10"/>
      <c r="W574" s="2" t="str">
        <f t="shared" si="140"/>
        <v>5:55:00</v>
      </c>
      <c r="Y574" s="12"/>
      <c r="AA574" s="10">
        <v>36.94</v>
      </c>
      <c r="AB574" s="10" t="s">
        <v>91</v>
      </c>
    </row>
    <row r="575" spans="1:28" ht="15" customHeight="1" x14ac:dyDescent="0.25">
      <c r="A575">
        <v>65</v>
      </c>
      <c r="B575" t="s">
        <v>41</v>
      </c>
      <c r="C575" t="s">
        <v>42</v>
      </c>
      <c r="D575" t="s">
        <v>13</v>
      </c>
      <c r="E575" t="s">
        <v>7</v>
      </c>
      <c r="F575" s="1">
        <v>44953</v>
      </c>
      <c r="G575" s="1">
        <v>45087</v>
      </c>
      <c r="H575">
        <f t="shared" si="126"/>
        <v>134</v>
      </c>
      <c r="J575">
        <v>28.5</v>
      </c>
      <c r="K575">
        <v>341</v>
      </c>
      <c r="L575">
        <v>2</v>
      </c>
      <c r="O575" s="2">
        <v>35.6</v>
      </c>
      <c r="P575" s="3">
        <v>1.7567999999999999</v>
      </c>
      <c r="Q575" s="4">
        <v>0.51041666666666696</v>
      </c>
      <c r="R575" s="4">
        <v>0.75694444444444453</v>
      </c>
      <c r="S575" s="2"/>
      <c r="T575" s="13"/>
      <c r="V575" s="10"/>
      <c r="W575" s="2" t="str">
        <f t="shared" si="140"/>
        <v>5:55:00</v>
      </c>
      <c r="Y575" s="12"/>
      <c r="AA575" s="10">
        <v>36.94</v>
      </c>
      <c r="AB575" s="10" t="s">
        <v>91</v>
      </c>
    </row>
    <row r="576" spans="1:28" ht="15" customHeight="1" x14ac:dyDescent="0.25">
      <c r="A576">
        <v>101</v>
      </c>
      <c r="B576" t="s">
        <v>41</v>
      </c>
      <c r="C576" t="s">
        <v>42</v>
      </c>
      <c r="D576" t="s">
        <v>13</v>
      </c>
      <c r="E576" t="s">
        <v>7</v>
      </c>
      <c r="F576" s="1">
        <v>44982</v>
      </c>
      <c r="G576" s="1">
        <v>45120</v>
      </c>
      <c r="H576">
        <f t="shared" si="126"/>
        <v>138</v>
      </c>
      <c r="I576" t="s">
        <v>36</v>
      </c>
      <c r="J576">
        <v>28.5</v>
      </c>
      <c r="K576">
        <v>339</v>
      </c>
      <c r="L576">
        <v>1</v>
      </c>
      <c r="M576">
        <v>1</v>
      </c>
      <c r="N576">
        <v>2</v>
      </c>
      <c r="O576" s="2">
        <v>34.75</v>
      </c>
      <c r="P576" s="3">
        <v>1.7930999999999999</v>
      </c>
      <c r="Q576" s="4">
        <v>0.493229166666667</v>
      </c>
      <c r="R576" s="4">
        <v>0.7416666666666667</v>
      </c>
      <c r="T576" s="13"/>
      <c r="U576" s="10">
        <v>37.015000000000001</v>
      </c>
      <c r="V576" s="2"/>
      <c r="W576" s="2" t="str">
        <f t="shared" si="140"/>
        <v>5:57:45</v>
      </c>
      <c r="X576" s="10">
        <v>6.8000000000000005E-2</v>
      </c>
      <c r="Y576" s="12">
        <f t="shared" ref="Y576:Y581" si="141">U576-X576</f>
        <v>36.947000000000003</v>
      </c>
      <c r="AA576" s="10">
        <f t="shared" ref="AA576:AA581" si="142">AVERAGE(Y576,T576)</f>
        <v>36.947000000000003</v>
      </c>
      <c r="AB576" s="10" t="s">
        <v>90</v>
      </c>
    </row>
    <row r="577" spans="1:31" ht="15" customHeight="1" x14ac:dyDescent="0.25">
      <c r="A577">
        <v>101</v>
      </c>
      <c r="B577" t="s">
        <v>41</v>
      </c>
      <c r="C577" t="s">
        <v>42</v>
      </c>
      <c r="D577" t="s">
        <v>13</v>
      </c>
      <c r="E577" t="s">
        <v>7</v>
      </c>
      <c r="F577" s="1">
        <v>44982</v>
      </c>
      <c r="G577" s="1">
        <v>45120</v>
      </c>
      <c r="H577">
        <f t="shared" si="126"/>
        <v>138</v>
      </c>
      <c r="I577" t="s">
        <v>38</v>
      </c>
      <c r="J577">
        <v>31.5</v>
      </c>
      <c r="K577">
        <v>160</v>
      </c>
      <c r="L577">
        <v>2</v>
      </c>
      <c r="M577">
        <v>1</v>
      </c>
      <c r="N577">
        <v>2</v>
      </c>
      <c r="O577" s="2">
        <v>24.16</v>
      </c>
      <c r="P577" s="3">
        <v>0.59030000000000005</v>
      </c>
      <c r="Q577" s="4">
        <v>0.49322916666666666</v>
      </c>
      <c r="R577" s="4">
        <v>0.7416666666666667</v>
      </c>
      <c r="T577" s="13"/>
      <c r="U577" s="10">
        <v>37.015000000000001</v>
      </c>
      <c r="V577" s="2"/>
      <c r="W577" s="2" t="str">
        <f t="shared" si="140"/>
        <v>5:57:45</v>
      </c>
      <c r="X577" s="10">
        <v>6.8000000000000005E-2</v>
      </c>
      <c r="Y577" s="12">
        <f t="shared" si="141"/>
        <v>36.947000000000003</v>
      </c>
      <c r="AA577" s="10">
        <f t="shared" si="142"/>
        <v>36.947000000000003</v>
      </c>
      <c r="AB577" s="10" t="s">
        <v>90</v>
      </c>
    </row>
    <row r="578" spans="1:31" ht="15" customHeight="1" x14ac:dyDescent="0.25">
      <c r="A578">
        <v>65</v>
      </c>
      <c r="B578" t="s">
        <v>41</v>
      </c>
      <c r="C578" t="s">
        <v>42</v>
      </c>
      <c r="D578" t="s">
        <v>13</v>
      </c>
      <c r="E578" t="s">
        <v>7</v>
      </c>
      <c r="F578" s="1">
        <v>44953</v>
      </c>
      <c r="G578" s="1">
        <v>45086</v>
      </c>
      <c r="H578">
        <f t="shared" ref="H578:H613" si="143">G578-F578</f>
        <v>133</v>
      </c>
      <c r="I578" t="s">
        <v>38</v>
      </c>
      <c r="J578">
        <v>31.5</v>
      </c>
      <c r="K578">
        <v>126</v>
      </c>
      <c r="L578">
        <v>1</v>
      </c>
      <c r="M578">
        <v>3</v>
      </c>
      <c r="N578">
        <v>5</v>
      </c>
      <c r="O578" s="2">
        <v>30.91</v>
      </c>
      <c r="P578" s="3">
        <v>1.1254999999999999</v>
      </c>
      <c r="Q578" s="4">
        <v>0.481793981481482</v>
      </c>
      <c r="R578" s="4">
        <v>0.73472222222222217</v>
      </c>
      <c r="S578" s="2">
        <f>AVERAGE(T578:U578)</f>
        <v>36.984499999999997</v>
      </c>
      <c r="T578" s="13">
        <v>36.9</v>
      </c>
      <c r="U578" s="10">
        <v>37.069000000000003</v>
      </c>
      <c r="V578" s="8">
        <f>U578-T578</f>
        <v>0.16900000000000404</v>
      </c>
      <c r="W578" s="2" t="str">
        <f t="shared" si="140"/>
        <v>6:04:13</v>
      </c>
      <c r="X578" s="10">
        <v>3.3820000000000003E-2</v>
      </c>
      <c r="Y578" s="12">
        <f t="shared" si="141"/>
        <v>37.035180000000004</v>
      </c>
      <c r="Z578" s="10">
        <f>Y578-T578</f>
        <v>0.13518000000000541</v>
      </c>
      <c r="AA578" s="10">
        <f t="shared" si="142"/>
        <v>36.967590000000001</v>
      </c>
      <c r="AB578" s="10" t="s">
        <v>90</v>
      </c>
    </row>
    <row r="579" spans="1:31" ht="15" customHeight="1" x14ac:dyDescent="0.25">
      <c r="A579">
        <v>65</v>
      </c>
      <c r="B579" t="s">
        <v>41</v>
      </c>
      <c r="C579" t="s">
        <v>42</v>
      </c>
      <c r="D579" t="s">
        <v>13</v>
      </c>
      <c r="E579" t="s">
        <v>7</v>
      </c>
      <c r="F579" s="1">
        <v>44953</v>
      </c>
      <c r="G579" s="1">
        <v>45086</v>
      </c>
      <c r="H579">
        <f t="shared" si="143"/>
        <v>133</v>
      </c>
      <c r="I579" t="s">
        <v>36</v>
      </c>
      <c r="J579">
        <v>28.5</v>
      </c>
      <c r="K579">
        <v>147</v>
      </c>
      <c r="L579">
        <v>1</v>
      </c>
      <c r="M579">
        <v>3</v>
      </c>
      <c r="N579">
        <v>1</v>
      </c>
      <c r="O579" s="2">
        <v>35.15</v>
      </c>
      <c r="P579" s="3">
        <v>1.7949999999999999</v>
      </c>
      <c r="Q579" s="4">
        <v>0.481793981481482</v>
      </c>
      <c r="R579" s="4">
        <v>0.73611111111111116</v>
      </c>
      <c r="S579" s="2">
        <f>AVERAGE(T579:U579)</f>
        <v>36.997999999999998</v>
      </c>
      <c r="T579" s="13">
        <v>36.9</v>
      </c>
      <c r="U579" s="10">
        <v>37.095999999999997</v>
      </c>
      <c r="V579" s="8">
        <f>U579-T579</f>
        <v>0.19599999999999795</v>
      </c>
      <c r="W579" s="2" t="str">
        <f t="shared" si="140"/>
        <v>6:06:13</v>
      </c>
      <c r="X579" s="10">
        <v>3.3820000000000003E-2</v>
      </c>
      <c r="Y579" s="12">
        <f t="shared" si="141"/>
        <v>37.062179999999998</v>
      </c>
      <c r="Z579" s="11">
        <f>Y579-T579</f>
        <v>0.16217999999999932</v>
      </c>
      <c r="AA579" s="10">
        <f t="shared" si="142"/>
        <v>36.981089999999995</v>
      </c>
      <c r="AB579" s="10" t="s">
        <v>90</v>
      </c>
    </row>
    <row r="580" spans="1:31" ht="15" customHeight="1" x14ac:dyDescent="0.25">
      <c r="A580">
        <v>101</v>
      </c>
      <c r="B580" t="s">
        <v>41</v>
      </c>
      <c r="C580" t="s">
        <v>42</v>
      </c>
      <c r="D580" t="s">
        <v>13</v>
      </c>
      <c r="E580" t="s">
        <v>7</v>
      </c>
      <c r="F580" s="1">
        <v>44982</v>
      </c>
      <c r="G580" s="1">
        <v>45119</v>
      </c>
      <c r="H580">
        <f t="shared" si="143"/>
        <v>137</v>
      </c>
      <c r="I580" t="s">
        <v>36</v>
      </c>
      <c r="J580">
        <v>31.5</v>
      </c>
      <c r="K580">
        <v>226</v>
      </c>
      <c r="L580">
        <v>2</v>
      </c>
      <c r="M580">
        <v>3</v>
      </c>
      <c r="N580">
        <v>5</v>
      </c>
      <c r="O580" s="2">
        <v>28.22</v>
      </c>
      <c r="P580" s="3">
        <v>0.84889999999999999</v>
      </c>
      <c r="Q580" s="4">
        <v>0.50962962962962999</v>
      </c>
      <c r="R580" s="4">
        <v>0.76180555555555562</v>
      </c>
      <c r="T580" s="13"/>
      <c r="U580" s="10">
        <v>37.069000000000003</v>
      </c>
      <c r="V580" s="2"/>
      <c r="W580" s="2" t="str">
        <f t="shared" si="140"/>
        <v>6:03:08</v>
      </c>
      <c r="X580" s="10">
        <v>8.0199999999999994E-2</v>
      </c>
      <c r="Y580" s="12">
        <f t="shared" si="141"/>
        <v>36.988800000000005</v>
      </c>
      <c r="AA580" s="10">
        <f t="shared" si="142"/>
        <v>36.988800000000005</v>
      </c>
      <c r="AB580" s="10" t="s">
        <v>90</v>
      </c>
    </row>
    <row r="581" spans="1:31" ht="15" customHeight="1" x14ac:dyDescent="0.25">
      <c r="A581">
        <v>65</v>
      </c>
      <c r="B581" t="s">
        <v>41</v>
      </c>
      <c r="C581" t="s">
        <v>42</v>
      </c>
      <c r="D581" t="s">
        <v>13</v>
      </c>
      <c r="E581" t="s">
        <v>7</v>
      </c>
      <c r="F581" s="1">
        <v>44953</v>
      </c>
      <c r="G581" s="1">
        <v>45086</v>
      </c>
      <c r="H581">
        <f t="shared" si="143"/>
        <v>133</v>
      </c>
      <c r="I581" t="s">
        <v>37</v>
      </c>
      <c r="J581">
        <v>30</v>
      </c>
      <c r="K581">
        <v>232</v>
      </c>
      <c r="L581">
        <v>1</v>
      </c>
      <c r="M581">
        <v>3</v>
      </c>
      <c r="N581">
        <v>3</v>
      </c>
      <c r="O581" s="2">
        <v>33.82</v>
      </c>
      <c r="P581" s="3">
        <v>1.4905999999999999</v>
      </c>
      <c r="Q581" s="4">
        <v>0.481793981481482</v>
      </c>
      <c r="R581" s="4">
        <v>0.7368055555555556</v>
      </c>
      <c r="S581" s="2">
        <f>AVERAGE(T581:U581)</f>
        <v>37.012</v>
      </c>
      <c r="T581" s="13">
        <v>36.9</v>
      </c>
      <c r="U581" s="10">
        <v>37.124000000000002</v>
      </c>
      <c r="V581" s="8">
        <f>U581-T581</f>
        <v>0.22400000000000375</v>
      </c>
      <c r="W581" s="2" t="str">
        <f t="shared" si="140"/>
        <v>6:07:13</v>
      </c>
      <c r="X581" s="10">
        <v>3.3820000000000003E-2</v>
      </c>
      <c r="Y581" s="12">
        <f t="shared" si="141"/>
        <v>37.090180000000004</v>
      </c>
      <c r="Z581" s="11">
        <f>Y581-T581</f>
        <v>0.19018000000000512</v>
      </c>
      <c r="AA581" s="10">
        <f t="shared" si="142"/>
        <v>36.995090000000005</v>
      </c>
      <c r="AB581" s="10" t="s">
        <v>90</v>
      </c>
    </row>
    <row r="582" spans="1:31" ht="15" customHeight="1" x14ac:dyDescent="0.25">
      <c r="A582">
        <v>101</v>
      </c>
      <c r="B582" t="s">
        <v>41</v>
      </c>
      <c r="C582" t="s">
        <v>42</v>
      </c>
      <c r="D582" t="s">
        <v>13</v>
      </c>
      <c r="E582" t="s">
        <v>7</v>
      </c>
      <c r="F582" s="1">
        <v>44982</v>
      </c>
      <c r="G582" s="1">
        <v>45120</v>
      </c>
      <c r="H582">
        <f t="shared" si="143"/>
        <v>138</v>
      </c>
      <c r="J582">
        <v>31.5</v>
      </c>
      <c r="K582">
        <v>226</v>
      </c>
      <c r="L582">
        <v>2</v>
      </c>
      <c r="O582" s="2">
        <v>45.93</v>
      </c>
      <c r="P582" s="3">
        <v>4.6508000000000003</v>
      </c>
      <c r="Q582" s="4">
        <v>0.48958333333333298</v>
      </c>
      <c r="R582" s="4">
        <v>0.74375000000000002</v>
      </c>
      <c r="S582" s="2"/>
      <c r="T582" s="13"/>
      <c r="V582" s="10"/>
      <c r="W582" s="2" t="str">
        <f t="shared" si="140"/>
        <v>6:06:00</v>
      </c>
      <c r="Y582" s="12"/>
      <c r="AA582" s="10">
        <v>37</v>
      </c>
      <c r="AB582" s="10" t="s">
        <v>91</v>
      </c>
    </row>
    <row r="583" spans="1:31" ht="15" customHeight="1" x14ac:dyDescent="0.25">
      <c r="A583">
        <v>101</v>
      </c>
      <c r="B583" t="s">
        <v>41</v>
      </c>
      <c r="C583" t="s">
        <v>42</v>
      </c>
      <c r="D583" t="s">
        <v>13</v>
      </c>
      <c r="E583" t="s">
        <v>7</v>
      </c>
      <c r="F583" s="1">
        <v>44982</v>
      </c>
      <c r="G583" s="1">
        <v>45120</v>
      </c>
      <c r="H583">
        <f t="shared" si="143"/>
        <v>138</v>
      </c>
      <c r="I583" t="s">
        <v>36</v>
      </c>
      <c r="J583">
        <v>28.5</v>
      </c>
      <c r="K583">
        <v>339</v>
      </c>
      <c r="L583">
        <v>1</v>
      </c>
      <c r="M583">
        <v>1</v>
      </c>
      <c r="N583">
        <v>1</v>
      </c>
      <c r="O583" s="2">
        <v>33.340000000000003</v>
      </c>
      <c r="P583" s="3">
        <v>1.3782000000000001</v>
      </c>
      <c r="Q583" s="4">
        <v>0.493229166666667</v>
      </c>
      <c r="R583" s="4">
        <v>0.74444444444444446</v>
      </c>
      <c r="T583" s="13"/>
      <c r="U583" s="10">
        <v>37.069000000000003</v>
      </c>
      <c r="V583" s="2"/>
      <c r="W583" s="2" t="str">
        <f t="shared" si="140"/>
        <v>6:01:45</v>
      </c>
      <c r="X583" s="10">
        <v>6.8000000000000005E-2</v>
      </c>
      <c r="Y583" s="12">
        <f t="shared" ref="Y583:Y589" si="144">U583-X583</f>
        <v>37.001000000000005</v>
      </c>
      <c r="AA583" s="10">
        <f t="shared" ref="AA583:AA589" si="145">AVERAGE(Y583,T583)</f>
        <v>37.001000000000005</v>
      </c>
      <c r="AB583" s="10" t="s">
        <v>90</v>
      </c>
    </row>
    <row r="584" spans="1:31" x14ac:dyDescent="0.25">
      <c r="A584">
        <v>101</v>
      </c>
      <c r="B584" t="s">
        <v>41</v>
      </c>
      <c r="C584" t="s">
        <v>42</v>
      </c>
      <c r="D584" t="s">
        <v>13</v>
      </c>
      <c r="E584" t="s">
        <v>7</v>
      </c>
      <c r="F584" s="1">
        <v>44982</v>
      </c>
      <c r="G584" s="1">
        <v>45120</v>
      </c>
      <c r="H584">
        <f t="shared" si="143"/>
        <v>138</v>
      </c>
      <c r="I584" t="s">
        <v>37</v>
      </c>
      <c r="J584">
        <v>30</v>
      </c>
      <c r="K584">
        <v>135</v>
      </c>
      <c r="L584">
        <v>2</v>
      </c>
      <c r="M584">
        <v>1</v>
      </c>
      <c r="N584">
        <v>4</v>
      </c>
      <c r="O584" s="2">
        <v>32.57</v>
      </c>
      <c r="P584" s="3">
        <v>1.3083</v>
      </c>
      <c r="Q584" s="4">
        <v>0.493229166666667</v>
      </c>
      <c r="R584" s="4">
        <v>0.74444444444444446</v>
      </c>
      <c r="T584" s="13"/>
      <c r="U584" s="10">
        <v>37.069000000000003</v>
      </c>
      <c r="V584" s="2"/>
      <c r="W584" s="2" t="str">
        <f t="shared" si="140"/>
        <v>6:01:45</v>
      </c>
      <c r="X584" s="10">
        <v>6.8000000000000005E-2</v>
      </c>
      <c r="Y584" s="12">
        <f t="shared" si="144"/>
        <v>37.001000000000005</v>
      </c>
      <c r="AA584" s="10">
        <f t="shared" si="145"/>
        <v>37.001000000000005</v>
      </c>
      <c r="AB584" s="10" t="s">
        <v>90</v>
      </c>
    </row>
    <row r="585" spans="1:31" x14ac:dyDescent="0.25">
      <c r="A585">
        <v>101</v>
      </c>
      <c r="B585" t="s">
        <v>41</v>
      </c>
      <c r="C585" t="s">
        <v>42</v>
      </c>
      <c r="D585" t="s">
        <v>13</v>
      </c>
      <c r="E585" t="s">
        <v>7</v>
      </c>
      <c r="F585" s="1">
        <v>44982</v>
      </c>
      <c r="G585" s="1">
        <v>45120</v>
      </c>
      <c r="H585">
        <f t="shared" si="143"/>
        <v>138</v>
      </c>
      <c r="I585" t="s">
        <v>38</v>
      </c>
      <c r="J585">
        <v>31.5</v>
      </c>
      <c r="K585">
        <v>160</v>
      </c>
      <c r="L585">
        <v>2</v>
      </c>
      <c r="M585">
        <v>1</v>
      </c>
      <c r="N585">
        <v>1</v>
      </c>
      <c r="O585" s="2">
        <v>23.53</v>
      </c>
      <c r="P585" s="3">
        <v>1.4440999999999999</v>
      </c>
      <c r="Q585" s="4">
        <v>0.49322916666666666</v>
      </c>
      <c r="R585" s="4">
        <v>0.74444444444444446</v>
      </c>
      <c r="T585" s="13"/>
      <c r="U585" s="10">
        <v>37.069000000000003</v>
      </c>
      <c r="V585" s="2"/>
      <c r="W585" s="2" t="str">
        <f t="shared" si="140"/>
        <v>6:01:45</v>
      </c>
      <c r="X585" s="10">
        <v>6.8000000000000005E-2</v>
      </c>
      <c r="Y585" s="12">
        <f t="shared" si="144"/>
        <v>37.001000000000005</v>
      </c>
      <c r="AA585" s="10">
        <f t="shared" si="145"/>
        <v>37.001000000000005</v>
      </c>
      <c r="AB585" s="10" t="s">
        <v>90</v>
      </c>
      <c r="AD585" s="4"/>
      <c r="AE585" s="5"/>
    </row>
    <row r="586" spans="1:31" x14ac:dyDescent="0.25">
      <c r="A586">
        <v>65</v>
      </c>
      <c r="B586" t="s">
        <v>41</v>
      </c>
      <c r="C586" t="s">
        <v>42</v>
      </c>
      <c r="D586" t="s">
        <v>13</v>
      </c>
      <c r="E586" t="s">
        <v>7</v>
      </c>
      <c r="F586" s="1">
        <v>44953</v>
      </c>
      <c r="G586" s="1">
        <v>45083</v>
      </c>
      <c r="H586">
        <f t="shared" si="143"/>
        <v>130</v>
      </c>
      <c r="I586" t="s">
        <v>36</v>
      </c>
      <c r="J586">
        <v>28.5</v>
      </c>
      <c r="K586">
        <v>341</v>
      </c>
      <c r="L586">
        <v>2</v>
      </c>
      <c r="M586">
        <v>5</v>
      </c>
      <c r="N586">
        <v>3</v>
      </c>
      <c r="O586" s="2">
        <v>33.700000000000003</v>
      </c>
      <c r="P586" s="3">
        <v>1.5189999999999999</v>
      </c>
      <c r="Q586" s="4">
        <v>0.44003472222222201</v>
      </c>
      <c r="R586" s="4">
        <v>0.71736111111111101</v>
      </c>
      <c r="S586" s="2">
        <f>AVERAGE(T586:U586)</f>
        <v>37.124000000000002</v>
      </c>
      <c r="T586" s="13"/>
      <c r="U586" s="10">
        <v>37.124000000000002</v>
      </c>
      <c r="V586" s="2"/>
      <c r="W586" s="2" t="str">
        <f t="shared" si="140"/>
        <v>6:39:21</v>
      </c>
      <c r="X586" s="10">
        <v>0.10340000000000001</v>
      </c>
      <c r="Y586" s="12">
        <f t="shared" si="144"/>
        <v>37.020600000000002</v>
      </c>
      <c r="AA586" s="10">
        <f t="shared" si="145"/>
        <v>37.020600000000002</v>
      </c>
      <c r="AB586" s="10" t="s">
        <v>90</v>
      </c>
    </row>
    <row r="587" spans="1:31" x14ac:dyDescent="0.25">
      <c r="A587">
        <v>65</v>
      </c>
      <c r="B587" t="s">
        <v>41</v>
      </c>
      <c r="C587" t="s">
        <v>42</v>
      </c>
      <c r="D587" t="s">
        <v>13</v>
      </c>
      <c r="E587" t="s">
        <v>7</v>
      </c>
      <c r="F587" s="1">
        <v>44953</v>
      </c>
      <c r="G587" s="1">
        <v>45083</v>
      </c>
      <c r="H587">
        <f t="shared" si="143"/>
        <v>130</v>
      </c>
      <c r="I587" t="s">
        <v>37</v>
      </c>
      <c r="J587">
        <v>30</v>
      </c>
      <c r="K587">
        <v>232</v>
      </c>
      <c r="L587">
        <v>2</v>
      </c>
      <c r="M587">
        <v>5</v>
      </c>
      <c r="N587">
        <v>4</v>
      </c>
      <c r="O587" s="2">
        <v>34.89</v>
      </c>
      <c r="P587" s="3">
        <v>1.6669</v>
      </c>
      <c r="Q587" s="4">
        <v>0.44003472222222201</v>
      </c>
      <c r="R587" s="4">
        <v>0.71736111111111101</v>
      </c>
      <c r="S587" s="2">
        <f>AVERAGE(T587:U587)</f>
        <v>37.124000000000002</v>
      </c>
      <c r="T587" s="13"/>
      <c r="U587" s="10">
        <v>37.124000000000002</v>
      </c>
      <c r="V587" s="2"/>
      <c r="W587" s="2" t="str">
        <f t="shared" si="140"/>
        <v>6:39:21</v>
      </c>
      <c r="X587" s="10">
        <v>0.10340000000000001</v>
      </c>
      <c r="Y587" s="12">
        <f t="shared" si="144"/>
        <v>37.020600000000002</v>
      </c>
      <c r="AA587" s="10">
        <f t="shared" si="145"/>
        <v>37.020600000000002</v>
      </c>
      <c r="AB587" s="10" t="s">
        <v>90</v>
      </c>
    </row>
    <row r="588" spans="1:31" x14ac:dyDescent="0.25">
      <c r="A588">
        <v>65</v>
      </c>
      <c r="B588" t="s">
        <v>41</v>
      </c>
      <c r="C588" t="s">
        <v>42</v>
      </c>
      <c r="D588" t="s">
        <v>13</v>
      </c>
      <c r="E588" t="s">
        <v>7</v>
      </c>
      <c r="F588" s="1">
        <v>44953</v>
      </c>
      <c r="G588" s="1">
        <v>45083</v>
      </c>
      <c r="H588">
        <f t="shared" si="143"/>
        <v>130</v>
      </c>
      <c r="I588" t="s">
        <v>38</v>
      </c>
      <c r="J588">
        <v>31.5</v>
      </c>
      <c r="K588">
        <v>126</v>
      </c>
      <c r="L588">
        <v>2</v>
      </c>
      <c r="M588">
        <v>5</v>
      </c>
      <c r="N588">
        <v>3</v>
      </c>
      <c r="O588" s="2">
        <v>28.02</v>
      </c>
      <c r="P588" s="3">
        <v>0.93600000000000005</v>
      </c>
      <c r="Q588" s="4">
        <v>0.44003472222222201</v>
      </c>
      <c r="R588" s="4">
        <v>0.71944444444444444</v>
      </c>
      <c r="S588" s="2">
        <f>AVERAGE(T588:U588)</f>
        <v>37.075500000000005</v>
      </c>
      <c r="T588" s="13">
        <v>37</v>
      </c>
      <c r="U588" s="10">
        <v>37.151000000000003</v>
      </c>
      <c r="V588" s="8">
        <f>U588-T588</f>
        <v>0.15100000000000335</v>
      </c>
      <c r="W588" s="2" t="str">
        <f t="shared" si="140"/>
        <v>6:42:21</v>
      </c>
      <c r="X588" s="10">
        <v>0.10340000000000001</v>
      </c>
      <c r="Y588" s="12">
        <f t="shared" si="144"/>
        <v>37.047600000000003</v>
      </c>
      <c r="Z588" s="10">
        <f>Y588-T588</f>
        <v>4.7600000000002751E-2</v>
      </c>
      <c r="AA588" s="10">
        <f t="shared" si="145"/>
        <v>37.023800000000001</v>
      </c>
      <c r="AB588" s="10" t="s">
        <v>90</v>
      </c>
    </row>
    <row r="589" spans="1:31" x14ac:dyDescent="0.25">
      <c r="A589">
        <v>101</v>
      </c>
      <c r="B589" t="s">
        <v>41</v>
      </c>
      <c r="C589" t="s">
        <v>42</v>
      </c>
      <c r="D589" t="s">
        <v>13</v>
      </c>
      <c r="E589" t="s">
        <v>7</v>
      </c>
      <c r="F589" s="1">
        <v>44982</v>
      </c>
      <c r="G589" s="1">
        <v>45119</v>
      </c>
      <c r="H589">
        <f t="shared" si="143"/>
        <v>137</v>
      </c>
      <c r="I589" t="s">
        <v>37</v>
      </c>
      <c r="J589">
        <v>30</v>
      </c>
      <c r="K589">
        <v>248</v>
      </c>
      <c r="L589">
        <v>1</v>
      </c>
      <c r="M589">
        <v>3</v>
      </c>
      <c r="N589">
        <v>4</v>
      </c>
      <c r="O589" s="2">
        <v>29.84</v>
      </c>
      <c r="P589" s="3">
        <v>1.0488999999999999</v>
      </c>
      <c r="Q589" s="4">
        <v>0.50962962962962999</v>
      </c>
      <c r="R589" s="4">
        <v>0.7631944444444444</v>
      </c>
      <c r="T589" s="13"/>
      <c r="U589" s="10">
        <v>37.124000000000002</v>
      </c>
      <c r="V589" s="2"/>
      <c r="W589" s="2" t="str">
        <f t="shared" si="140"/>
        <v>6:05:08</v>
      </c>
      <c r="X589" s="10">
        <v>8.0199999999999994E-2</v>
      </c>
      <c r="Y589" s="12">
        <f t="shared" si="144"/>
        <v>37.043800000000005</v>
      </c>
      <c r="AA589" s="10">
        <f t="shared" si="145"/>
        <v>37.043800000000005</v>
      </c>
      <c r="AB589" s="10" t="s">
        <v>90</v>
      </c>
    </row>
    <row r="590" spans="1:31" x14ac:dyDescent="0.25">
      <c r="A590">
        <v>101</v>
      </c>
      <c r="B590" t="s">
        <v>41</v>
      </c>
      <c r="C590" t="s">
        <v>42</v>
      </c>
      <c r="D590" t="s">
        <v>13</v>
      </c>
      <c r="E590" t="s">
        <v>7</v>
      </c>
      <c r="F590" s="1">
        <v>44982</v>
      </c>
      <c r="G590" s="1">
        <v>45120</v>
      </c>
      <c r="H590">
        <f t="shared" si="143"/>
        <v>138</v>
      </c>
      <c r="J590">
        <v>31.5</v>
      </c>
      <c r="K590">
        <v>226</v>
      </c>
      <c r="L590">
        <v>2</v>
      </c>
      <c r="O590" s="2">
        <v>35.340000000000003</v>
      </c>
      <c r="P590" s="3">
        <v>1.4424999999999999</v>
      </c>
      <c r="Q590" s="4">
        <v>0.48958333333333331</v>
      </c>
      <c r="R590" s="4">
        <v>0.74652777777777779</v>
      </c>
      <c r="S590" s="2"/>
      <c r="T590" s="13"/>
      <c r="V590" s="10"/>
      <c r="W590" s="2" t="str">
        <f t="shared" si="140"/>
        <v>6:10:00</v>
      </c>
      <c r="Y590" s="12"/>
      <c r="AA590" s="10">
        <v>37.049999999999997</v>
      </c>
      <c r="AB590" s="10" t="s">
        <v>91</v>
      </c>
    </row>
    <row r="591" spans="1:31" x14ac:dyDescent="0.25">
      <c r="A591">
        <v>65</v>
      </c>
      <c r="B591" t="s">
        <v>41</v>
      </c>
      <c r="C591" t="s">
        <v>42</v>
      </c>
      <c r="D591" t="s">
        <v>13</v>
      </c>
      <c r="E591" t="s">
        <v>7</v>
      </c>
      <c r="F591" s="1">
        <v>44953</v>
      </c>
      <c r="G591" s="1">
        <v>45086</v>
      </c>
      <c r="H591">
        <f t="shared" si="143"/>
        <v>133</v>
      </c>
      <c r="I591" t="s">
        <v>37</v>
      </c>
      <c r="J591">
        <v>30</v>
      </c>
      <c r="K591">
        <v>232</v>
      </c>
      <c r="L591">
        <v>1</v>
      </c>
      <c r="M591">
        <v>3</v>
      </c>
      <c r="N591">
        <v>4</v>
      </c>
      <c r="O591" s="2">
        <v>34.479999999999997</v>
      </c>
      <c r="P591" s="3">
        <v>1.5906</v>
      </c>
      <c r="Q591" s="4">
        <v>0.481793981481482</v>
      </c>
      <c r="R591" s="4">
        <v>0.73888888888888893</v>
      </c>
      <c r="S591" s="2">
        <f>AVERAGE(T591:U591)</f>
        <v>37.100499999999997</v>
      </c>
      <c r="T591" s="13">
        <v>37.049999999999997</v>
      </c>
      <c r="U591" s="10">
        <v>37.151000000000003</v>
      </c>
      <c r="V591" s="2">
        <f>U591-T591</f>
        <v>0.1010000000000062</v>
      </c>
      <c r="W591" s="2" t="str">
        <f t="shared" si="140"/>
        <v>6:10:13</v>
      </c>
      <c r="X591" s="10">
        <v>3.3820000000000003E-2</v>
      </c>
      <c r="Y591" s="12">
        <f>U591-X591</f>
        <v>37.117180000000005</v>
      </c>
      <c r="Z591" s="10">
        <f>Y591-T591</f>
        <v>6.7180000000007567E-2</v>
      </c>
      <c r="AA591" s="10">
        <f>AVERAGE(Y591,T591)</f>
        <v>37.083590000000001</v>
      </c>
      <c r="AB591" s="10" t="s">
        <v>90</v>
      </c>
      <c r="AD591" s="4"/>
      <c r="AE591" s="5"/>
    </row>
    <row r="592" spans="1:31" x14ac:dyDescent="0.25">
      <c r="A592">
        <v>65</v>
      </c>
      <c r="B592" t="s">
        <v>41</v>
      </c>
      <c r="C592" t="s">
        <v>42</v>
      </c>
      <c r="D592" t="s">
        <v>13</v>
      </c>
      <c r="E592" t="s">
        <v>7</v>
      </c>
      <c r="F592" s="1">
        <v>44953</v>
      </c>
      <c r="G592" s="1">
        <v>45086</v>
      </c>
      <c r="H592">
        <f t="shared" si="143"/>
        <v>133</v>
      </c>
      <c r="I592" t="s">
        <v>38</v>
      </c>
      <c r="J592">
        <v>31.5</v>
      </c>
      <c r="K592">
        <v>126</v>
      </c>
      <c r="L592">
        <v>1</v>
      </c>
      <c r="M592">
        <v>3</v>
      </c>
      <c r="N592">
        <v>2</v>
      </c>
      <c r="O592" s="2">
        <v>29.16</v>
      </c>
      <c r="P592" s="3">
        <v>0.99839999999999995</v>
      </c>
      <c r="Q592" s="4">
        <v>0.481793981481482</v>
      </c>
      <c r="R592" s="4">
        <v>0.73888888888888893</v>
      </c>
      <c r="S592" s="2">
        <f>AVERAGE(T592:U592)</f>
        <v>37.100499999999997</v>
      </c>
      <c r="T592" s="13">
        <v>37.049999999999997</v>
      </c>
      <c r="U592" s="10">
        <v>37.151000000000003</v>
      </c>
      <c r="V592" s="2">
        <f>U592-T592</f>
        <v>0.1010000000000062</v>
      </c>
      <c r="W592" s="2" t="str">
        <f t="shared" si="140"/>
        <v>6:10:13</v>
      </c>
      <c r="X592" s="10">
        <v>3.3820000000000003E-2</v>
      </c>
      <c r="Y592" s="12">
        <f>U592-X592</f>
        <v>37.117180000000005</v>
      </c>
      <c r="Z592" s="10">
        <f>Y592-T592</f>
        <v>6.7180000000007567E-2</v>
      </c>
      <c r="AA592" s="10">
        <f>AVERAGE(Y592,T592)</f>
        <v>37.083590000000001</v>
      </c>
      <c r="AB592" s="10" t="s">
        <v>90</v>
      </c>
    </row>
    <row r="593" spans="1:28" x14ac:dyDescent="0.25">
      <c r="A593">
        <v>65</v>
      </c>
      <c r="B593" t="s">
        <v>41</v>
      </c>
      <c r="C593" t="s">
        <v>42</v>
      </c>
      <c r="D593" t="s">
        <v>13</v>
      </c>
      <c r="E593" t="s">
        <v>7</v>
      </c>
      <c r="F593" s="1">
        <v>44953</v>
      </c>
      <c r="G593" s="1">
        <v>45086</v>
      </c>
      <c r="H593">
        <f t="shared" si="143"/>
        <v>133</v>
      </c>
      <c r="I593" t="s">
        <v>38</v>
      </c>
      <c r="J593">
        <v>31.5</v>
      </c>
      <c r="K593">
        <v>126</v>
      </c>
      <c r="L593">
        <v>1</v>
      </c>
      <c r="M593">
        <v>3</v>
      </c>
      <c r="N593">
        <v>1</v>
      </c>
      <c r="O593" s="2">
        <v>29.07</v>
      </c>
      <c r="P593" s="3">
        <v>1.04</v>
      </c>
      <c r="Q593" s="4">
        <v>0.481793981481482</v>
      </c>
      <c r="R593" s="4">
        <v>0.73888888888888893</v>
      </c>
      <c r="S593" s="2">
        <f>AVERAGE(T593:U593)</f>
        <v>37.100499999999997</v>
      </c>
      <c r="T593" s="13">
        <v>37.049999999999997</v>
      </c>
      <c r="U593" s="10">
        <v>37.151000000000003</v>
      </c>
      <c r="V593" s="2">
        <f>U593-T593</f>
        <v>0.1010000000000062</v>
      </c>
      <c r="W593" s="2" t="str">
        <f t="shared" si="140"/>
        <v>6:10:13</v>
      </c>
      <c r="X593" s="10">
        <v>3.3820000000000003E-2</v>
      </c>
      <c r="Y593" s="12">
        <f>U593-X593</f>
        <v>37.117180000000005</v>
      </c>
      <c r="Z593" s="10">
        <f>Y593-T593</f>
        <v>6.7180000000007567E-2</v>
      </c>
      <c r="AA593" s="10">
        <f>AVERAGE(Y593,T593)</f>
        <v>37.083590000000001</v>
      </c>
      <c r="AB593" s="10" t="s">
        <v>90</v>
      </c>
    </row>
    <row r="594" spans="1:28" x14ac:dyDescent="0.25">
      <c r="A594">
        <v>65</v>
      </c>
      <c r="B594" t="s">
        <v>41</v>
      </c>
      <c r="C594" t="s">
        <v>42</v>
      </c>
      <c r="D594" t="s">
        <v>13</v>
      </c>
      <c r="E594" t="s">
        <v>7</v>
      </c>
      <c r="F594" s="1">
        <v>44953</v>
      </c>
      <c r="G594" s="1">
        <v>45086</v>
      </c>
      <c r="H594">
        <f t="shared" si="143"/>
        <v>133</v>
      </c>
      <c r="I594" t="s">
        <v>38</v>
      </c>
      <c r="J594">
        <v>31.5</v>
      </c>
      <c r="K594">
        <v>126</v>
      </c>
      <c r="L594">
        <v>1</v>
      </c>
      <c r="M594">
        <v>3</v>
      </c>
      <c r="N594">
        <v>4</v>
      </c>
      <c r="O594" s="2">
        <v>28.89</v>
      </c>
      <c r="P594" s="3">
        <v>0.9919</v>
      </c>
      <c r="Q594" s="4">
        <v>0.481793981481482</v>
      </c>
      <c r="R594" s="4">
        <v>0.73749999999999993</v>
      </c>
      <c r="S594" s="2">
        <f>AVERAGE(T594:U594)</f>
        <v>37.112000000000002</v>
      </c>
      <c r="T594" s="13">
        <v>37.1</v>
      </c>
      <c r="U594" s="10">
        <v>37.124000000000002</v>
      </c>
      <c r="V594" s="2">
        <f>U594-T594</f>
        <v>2.4000000000000909E-2</v>
      </c>
      <c r="W594" s="2" t="str">
        <f t="shared" si="140"/>
        <v>6:08:13</v>
      </c>
      <c r="X594" s="10">
        <v>3.3820000000000003E-2</v>
      </c>
      <c r="Y594" s="12">
        <f>U594-X594</f>
        <v>37.090180000000004</v>
      </c>
      <c r="Z594" s="10">
        <f>Y594-T594</f>
        <v>-9.8199999999977194E-3</v>
      </c>
      <c r="AA594" s="10">
        <f>AVERAGE(Y594,T594)</f>
        <v>37.095089999999999</v>
      </c>
      <c r="AB594" s="10" t="s">
        <v>90</v>
      </c>
    </row>
    <row r="595" spans="1:28" x14ac:dyDescent="0.25">
      <c r="A595">
        <v>101</v>
      </c>
      <c r="B595" t="s">
        <v>41</v>
      </c>
      <c r="C595" t="s">
        <v>42</v>
      </c>
      <c r="D595" t="s">
        <v>13</v>
      </c>
      <c r="E595" t="s">
        <v>7</v>
      </c>
      <c r="F595" s="1">
        <v>44982</v>
      </c>
      <c r="G595" s="1">
        <v>45119</v>
      </c>
      <c r="H595">
        <f t="shared" si="143"/>
        <v>137</v>
      </c>
      <c r="I595" t="s">
        <v>37</v>
      </c>
      <c r="J595">
        <v>30</v>
      </c>
      <c r="K595">
        <v>248</v>
      </c>
      <c r="L595">
        <v>1</v>
      </c>
      <c r="M595">
        <v>3</v>
      </c>
      <c r="N595">
        <v>1</v>
      </c>
      <c r="O595" s="2">
        <v>32.83</v>
      </c>
      <c r="P595" s="3">
        <v>1.3796999999999999</v>
      </c>
      <c r="Q595" s="4">
        <v>0.50962962962962999</v>
      </c>
      <c r="R595" s="4">
        <v>0.76597222222222217</v>
      </c>
      <c r="T595" s="13"/>
      <c r="U595" s="10">
        <v>37.177999999999997</v>
      </c>
      <c r="V595" s="2"/>
      <c r="W595" s="2" t="str">
        <f t="shared" si="140"/>
        <v>6:09:08</v>
      </c>
      <c r="X595" s="10">
        <v>8.0199999999999994E-2</v>
      </c>
      <c r="Y595" s="12">
        <f>U595-X595</f>
        <v>37.097799999999999</v>
      </c>
      <c r="AA595" s="10">
        <f>AVERAGE(Y595,T595)</f>
        <v>37.097799999999999</v>
      </c>
      <c r="AB595" s="10" t="s">
        <v>90</v>
      </c>
    </row>
    <row r="596" spans="1:28" x14ac:dyDescent="0.25">
      <c r="A596">
        <v>65</v>
      </c>
      <c r="B596" t="s">
        <v>41</v>
      </c>
      <c r="C596" t="s">
        <v>42</v>
      </c>
      <c r="D596" t="s">
        <v>13</v>
      </c>
      <c r="E596" t="s">
        <v>7</v>
      </c>
      <c r="F596" s="1">
        <v>44953</v>
      </c>
      <c r="G596" s="1">
        <v>45083</v>
      </c>
      <c r="H596">
        <f t="shared" si="143"/>
        <v>130</v>
      </c>
      <c r="J596">
        <v>30</v>
      </c>
      <c r="K596">
        <v>232</v>
      </c>
      <c r="L596">
        <v>2</v>
      </c>
      <c r="O596" s="2">
        <v>26.28</v>
      </c>
      <c r="P596" s="3">
        <v>0.73329999999999995</v>
      </c>
      <c r="Q596" s="4">
        <v>0.44003472222222201</v>
      </c>
      <c r="R596" s="4">
        <v>0.71319444444444446</v>
      </c>
      <c r="S596" s="2"/>
      <c r="T596" s="13"/>
      <c r="V596" s="10"/>
      <c r="W596" s="2" t="str">
        <f t="shared" si="140"/>
        <v>6:33:21</v>
      </c>
      <c r="Y596" s="12"/>
      <c r="AA596" s="10">
        <v>37.130000000000003</v>
      </c>
      <c r="AB596" s="10" t="s">
        <v>91</v>
      </c>
    </row>
    <row r="597" spans="1:28" x14ac:dyDescent="0.25">
      <c r="A597">
        <v>65</v>
      </c>
      <c r="B597" t="s">
        <v>41</v>
      </c>
      <c r="C597" t="s">
        <v>42</v>
      </c>
      <c r="D597" t="s">
        <v>13</v>
      </c>
      <c r="E597" t="s">
        <v>7</v>
      </c>
      <c r="F597" s="1">
        <v>44953</v>
      </c>
      <c r="G597" s="1">
        <v>45083</v>
      </c>
      <c r="H597">
        <f t="shared" si="143"/>
        <v>130</v>
      </c>
      <c r="J597">
        <v>30</v>
      </c>
      <c r="K597">
        <v>232</v>
      </c>
      <c r="L597">
        <v>2</v>
      </c>
      <c r="O597" s="2">
        <v>34.89</v>
      </c>
      <c r="P597" s="3">
        <v>1.6669</v>
      </c>
      <c r="Q597" s="4">
        <v>0.44003472222222201</v>
      </c>
      <c r="R597" s="4">
        <v>0.71180555555555547</v>
      </c>
      <c r="S597" s="2"/>
      <c r="T597" s="13"/>
      <c r="V597" s="10"/>
      <c r="W597" s="2" t="str">
        <f t="shared" si="140"/>
        <v>6:31:21</v>
      </c>
      <c r="Y597" s="12"/>
      <c r="AA597" s="10">
        <v>37.130000000000003</v>
      </c>
      <c r="AB597" s="10" t="s">
        <v>91</v>
      </c>
    </row>
    <row r="598" spans="1:28" x14ac:dyDescent="0.25">
      <c r="A598">
        <v>65</v>
      </c>
      <c r="B598" t="s">
        <v>41</v>
      </c>
      <c r="C598" t="s">
        <v>42</v>
      </c>
      <c r="D598" t="s">
        <v>13</v>
      </c>
      <c r="E598" t="s">
        <v>7</v>
      </c>
      <c r="F598" s="1">
        <v>44953</v>
      </c>
      <c r="G598" s="1">
        <v>45083</v>
      </c>
      <c r="H598">
        <f t="shared" si="143"/>
        <v>130</v>
      </c>
      <c r="I598" t="s">
        <v>36</v>
      </c>
      <c r="J598">
        <v>28.5</v>
      </c>
      <c r="K598">
        <v>341</v>
      </c>
      <c r="L598">
        <v>2</v>
      </c>
      <c r="M598">
        <v>5</v>
      </c>
      <c r="N598">
        <v>5</v>
      </c>
      <c r="O598" s="2">
        <v>34.69</v>
      </c>
      <c r="P598" s="3">
        <v>1.5532999999999999</v>
      </c>
      <c r="Q598" s="4">
        <v>0.44003472222222201</v>
      </c>
      <c r="R598" s="4">
        <v>0.72083333333333333</v>
      </c>
      <c r="S598" s="2">
        <f>AVERAGE(T598:U598)</f>
        <v>37.189</v>
      </c>
      <c r="T598" s="13">
        <v>37.200000000000003</v>
      </c>
      <c r="U598" s="10">
        <v>37.177999999999997</v>
      </c>
      <c r="V598" s="2">
        <f>U598-T598</f>
        <v>-2.2000000000005571E-2</v>
      </c>
      <c r="W598" s="2" t="str">
        <f t="shared" si="140"/>
        <v>6:44:21</v>
      </c>
      <c r="X598" s="10">
        <v>0.10340000000000001</v>
      </c>
      <c r="Y598" s="12">
        <f t="shared" ref="Y598:Y611" si="146">U598-X598</f>
        <v>37.074599999999997</v>
      </c>
      <c r="Z598" s="10">
        <f>Y598-T598</f>
        <v>-0.12540000000000617</v>
      </c>
      <c r="AA598" s="10">
        <f t="shared" ref="AA598:AA611" si="147">AVERAGE(Y598,T598)</f>
        <v>37.137299999999996</v>
      </c>
      <c r="AB598" s="10" t="s">
        <v>90</v>
      </c>
    </row>
    <row r="599" spans="1:28" x14ac:dyDescent="0.25">
      <c r="A599">
        <v>65</v>
      </c>
      <c r="B599" t="s">
        <v>41</v>
      </c>
      <c r="C599" t="s">
        <v>42</v>
      </c>
      <c r="D599" t="s">
        <v>13</v>
      </c>
      <c r="E599" t="s">
        <v>7</v>
      </c>
      <c r="F599" s="1">
        <v>44953</v>
      </c>
      <c r="G599" s="1">
        <v>45083</v>
      </c>
      <c r="H599">
        <f t="shared" si="143"/>
        <v>130</v>
      </c>
      <c r="I599" t="s">
        <v>37</v>
      </c>
      <c r="J599">
        <v>30</v>
      </c>
      <c r="K599">
        <v>232</v>
      </c>
      <c r="L599">
        <v>2</v>
      </c>
      <c r="M599">
        <v>5</v>
      </c>
      <c r="N599">
        <v>2</v>
      </c>
      <c r="O599" s="2">
        <v>26.28</v>
      </c>
      <c r="P599" s="3">
        <v>0.73329999999999995</v>
      </c>
      <c r="Q599" s="4">
        <v>0.44003472222222201</v>
      </c>
      <c r="R599" s="4">
        <v>0.72083333333333333</v>
      </c>
      <c r="S599" s="2">
        <f>AVERAGE(T599:U599)</f>
        <v>37.189</v>
      </c>
      <c r="T599" s="13">
        <v>37.200000000000003</v>
      </c>
      <c r="U599" s="10">
        <v>37.177999999999997</v>
      </c>
      <c r="V599" s="2">
        <f>U599-T599</f>
        <v>-2.2000000000005571E-2</v>
      </c>
      <c r="W599" s="2" t="str">
        <f t="shared" si="140"/>
        <v>6:44:21</v>
      </c>
      <c r="X599" s="10">
        <v>0.10340000000000001</v>
      </c>
      <c r="Y599" s="12">
        <f t="shared" si="146"/>
        <v>37.074599999999997</v>
      </c>
      <c r="Z599" s="10">
        <f>Y599-T599</f>
        <v>-0.12540000000000617</v>
      </c>
      <c r="AA599" s="10">
        <f t="shared" si="147"/>
        <v>37.137299999999996</v>
      </c>
      <c r="AB599" s="10" t="s">
        <v>90</v>
      </c>
    </row>
    <row r="600" spans="1:28" x14ac:dyDescent="0.25">
      <c r="A600">
        <v>65</v>
      </c>
      <c r="B600" t="s">
        <v>41</v>
      </c>
      <c r="C600" t="s">
        <v>42</v>
      </c>
      <c r="D600" t="s">
        <v>13</v>
      </c>
      <c r="E600" t="s">
        <v>7</v>
      </c>
      <c r="F600" s="1">
        <v>44953</v>
      </c>
      <c r="G600" s="1">
        <v>45083</v>
      </c>
      <c r="H600">
        <f t="shared" si="143"/>
        <v>130</v>
      </c>
      <c r="I600" t="s">
        <v>37</v>
      </c>
      <c r="J600">
        <v>30</v>
      </c>
      <c r="K600">
        <v>232</v>
      </c>
      <c r="L600">
        <v>2</v>
      </c>
      <c r="M600">
        <v>5</v>
      </c>
      <c r="N600">
        <v>5</v>
      </c>
      <c r="O600" s="2">
        <v>31.5</v>
      </c>
      <c r="P600" s="3">
        <v>1.2430000000000001</v>
      </c>
      <c r="Q600" s="4">
        <v>0.44003472222222201</v>
      </c>
      <c r="R600" s="4">
        <v>0.72083333333333333</v>
      </c>
      <c r="S600" s="2">
        <f>AVERAGE(T600:U600)</f>
        <v>37.189</v>
      </c>
      <c r="T600" s="13">
        <v>37.200000000000003</v>
      </c>
      <c r="U600" s="10">
        <v>37.177999999999997</v>
      </c>
      <c r="V600" s="2">
        <f>U600-T600</f>
        <v>-2.2000000000005571E-2</v>
      </c>
      <c r="W600" s="2" t="str">
        <f t="shared" si="140"/>
        <v>6:44:21</v>
      </c>
      <c r="X600" s="10">
        <v>0.10340000000000001</v>
      </c>
      <c r="Y600" s="12">
        <f t="shared" si="146"/>
        <v>37.074599999999997</v>
      </c>
      <c r="Z600" s="10">
        <f>Y600-T600</f>
        <v>-0.12540000000000617</v>
      </c>
      <c r="AA600" s="10">
        <f t="shared" si="147"/>
        <v>37.137299999999996</v>
      </c>
      <c r="AB600" s="10" t="s">
        <v>90</v>
      </c>
    </row>
    <row r="601" spans="1:28" x14ac:dyDescent="0.25">
      <c r="A601">
        <v>101</v>
      </c>
      <c r="B601" t="s">
        <v>41</v>
      </c>
      <c r="C601" t="s">
        <v>42</v>
      </c>
      <c r="D601" t="s">
        <v>13</v>
      </c>
      <c r="E601" t="s">
        <v>7</v>
      </c>
      <c r="F601" s="1">
        <v>44982</v>
      </c>
      <c r="G601" s="1">
        <v>45119</v>
      </c>
      <c r="H601">
        <f t="shared" si="143"/>
        <v>137</v>
      </c>
      <c r="I601" t="s">
        <v>37</v>
      </c>
      <c r="J601">
        <v>30</v>
      </c>
      <c r="K601">
        <v>248</v>
      </c>
      <c r="L601">
        <v>1</v>
      </c>
      <c r="M601">
        <v>3</v>
      </c>
      <c r="N601">
        <v>3</v>
      </c>
      <c r="O601" s="2">
        <v>29.37</v>
      </c>
      <c r="P601" s="3">
        <v>1.0558000000000001</v>
      </c>
      <c r="Q601" s="4">
        <v>0.50962962962962999</v>
      </c>
      <c r="R601" s="4">
        <v>0.76736111111111116</v>
      </c>
      <c r="T601" s="13"/>
      <c r="U601" s="10">
        <v>37.232999999999997</v>
      </c>
      <c r="V601" s="2"/>
      <c r="W601" s="2" t="str">
        <f t="shared" si="140"/>
        <v>6:11:08</v>
      </c>
      <c r="X601" s="10">
        <v>8.0199999999999994E-2</v>
      </c>
      <c r="Y601" s="12">
        <f t="shared" si="146"/>
        <v>37.152799999999999</v>
      </c>
      <c r="AA601" s="10">
        <f t="shared" si="147"/>
        <v>37.152799999999999</v>
      </c>
      <c r="AB601" s="10" t="s">
        <v>90</v>
      </c>
    </row>
    <row r="602" spans="1:28" x14ac:dyDescent="0.25">
      <c r="A602">
        <v>101</v>
      </c>
      <c r="B602" t="s">
        <v>41</v>
      </c>
      <c r="C602" t="s">
        <v>42</v>
      </c>
      <c r="D602" t="s">
        <v>13</v>
      </c>
      <c r="E602" t="s">
        <v>7</v>
      </c>
      <c r="F602" s="1">
        <v>44982</v>
      </c>
      <c r="G602" s="1">
        <v>45119</v>
      </c>
      <c r="H602">
        <f t="shared" si="143"/>
        <v>137</v>
      </c>
      <c r="I602" t="s">
        <v>36</v>
      </c>
      <c r="J602">
        <v>31.5</v>
      </c>
      <c r="K602">
        <v>226</v>
      </c>
      <c r="L602">
        <v>2</v>
      </c>
      <c r="M602">
        <v>3</v>
      </c>
      <c r="N602">
        <v>1</v>
      </c>
      <c r="O602" s="2">
        <v>28.62</v>
      </c>
      <c r="P602" s="3">
        <v>0.96819999999999995</v>
      </c>
      <c r="Q602" s="4">
        <v>0.50962962962962999</v>
      </c>
      <c r="R602" s="4">
        <v>0.76736111111111116</v>
      </c>
      <c r="T602" s="13"/>
      <c r="U602" s="10">
        <v>37.232999999999997</v>
      </c>
      <c r="V602" s="2"/>
      <c r="W602" s="2" t="str">
        <f t="shared" si="140"/>
        <v>6:11:08</v>
      </c>
      <c r="X602" s="10">
        <v>8.0199999999999994E-2</v>
      </c>
      <c r="Y602" s="12">
        <f t="shared" si="146"/>
        <v>37.152799999999999</v>
      </c>
      <c r="AA602" s="10">
        <f t="shared" si="147"/>
        <v>37.152799999999999</v>
      </c>
      <c r="AB602" s="10" t="s">
        <v>90</v>
      </c>
    </row>
    <row r="603" spans="1:28" x14ac:dyDescent="0.25">
      <c r="A603">
        <v>101</v>
      </c>
      <c r="B603" t="s">
        <v>41</v>
      </c>
      <c r="C603" t="s">
        <v>42</v>
      </c>
      <c r="D603" t="s">
        <v>13</v>
      </c>
      <c r="E603" t="s">
        <v>7</v>
      </c>
      <c r="F603" s="1">
        <v>44982</v>
      </c>
      <c r="G603" s="1">
        <v>45119</v>
      </c>
      <c r="H603">
        <f t="shared" si="143"/>
        <v>137</v>
      </c>
      <c r="I603" t="s">
        <v>36</v>
      </c>
      <c r="J603">
        <v>31.5</v>
      </c>
      <c r="K603">
        <v>226</v>
      </c>
      <c r="L603">
        <v>2</v>
      </c>
      <c r="M603">
        <v>3</v>
      </c>
      <c r="N603">
        <v>3</v>
      </c>
      <c r="O603" s="2">
        <v>31.68</v>
      </c>
      <c r="P603" s="3">
        <v>1.3655999999999999</v>
      </c>
      <c r="Q603" s="4">
        <v>0.50962962962962999</v>
      </c>
      <c r="R603" s="4">
        <v>0.76736111111111116</v>
      </c>
      <c r="T603" s="13"/>
      <c r="U603" s="10">
        <v>37.232999999999997</v>
      </c>
      <c r="V603" s="2"/>
      <c r="W603" s="2" t="str">
        <f t="shared" si="140"/>
        <v>6:11:08</v>
      </c>
      <c r="X603" s="10">
        <v>8.0199999999999994E-2</v>
      </c>
      <c r="Y603" s="12">
        <f t="shared" si="146"/>
        <v>37.152799999999999</v>
      </c>
      <c r="AA603" s="10">
        <f t="shared" si="147"/>
        <v>37.152799999999999</v>
      </c>
      <c r="AB603" s="10" t="s">
        <v>90</v>
      </c>
    </row>
    <row r="604" spans="1:28" x14ac:dyDescent="0.25">
      <c r="A604">
        <v>65</v>
      </c>
      <c r="B604" t="s">
        <v>41</v>
      </c>
      <c r="C604" t="s">
        <v>42</v>
      </c>
      <c r="D604" t="s">
        <v>13</v>
      </c>
      <c r="E604" t="s">
        <v>7</v>
      </c>
      <c r="F604" s="1">
        <v>44953</v>
      </c>
      <c r="G604" s="1">
        <v>45083</v>
      </c>
      <c r="H604">
        <f t="shared" si="143"/>
        <v>130</v>
      </c>
      <c r="I604" t="s">
        <v>36</v>
      </c>
      <c r="J604">
        <v>28.5</v>
      </c>
      <c r="K604">
        <v>341</v>
      </c>
      <c r="L604">
        <v>2</v>
      </c>
      <c r="M604">
        <v>5</v>
      </c>
      <c r="N604">
        <v>4</v>
      </c>
      <c r="O604" s="2">
        <v>33.049999999999997</v>
      </c>
      <c r="P604" s="3">
        <v>1.2928999999999999</v>
      </c>
      <c r="Q604" s="4">
        <v>0.44003472222222201</v>
      </c>
      <c r="R604" s="4">
        <v>0.72361111111111109</v>
      </c>
      <c r="S604" s="2">
        <f>AVERAGE(T604:U604)</f>
        <v>37.230500000000006</v>
      </c>
      <c r="T604" s="13">
        <v>37.200000000000003</v>
      </c>
      <c r="U604" s="10">
        <v>37.261000000000003</v>
      </c>
      <c r="V604" s="2">
        <f>U604-T604</f>
        <v>6.0999999999999943E-2</v>
      </c>
      <c r="W604" s="2" t="str">
        <f t="shared" si="140"/>
        <v>6:48:21</v>
      </c>
      <c r="X604" s="10">
        <v>0.10340000000000001</v>
      </c>
      <c r="Y604" s="12">
        <f t="shared" si="146"/>
        <v>37.157600000000002</v>
      </c>
      <c r="Z604" s="10">
        <f>Y604-T604</f>
        <v>-4.2400000000000659E-2</v>
      </c>
      <c r="AA604" s="10">
        <f t="shared" si="147"/>
        <v>37.178800000000003</v>
      </c>
      <c r="AB604" s="10" t="s">
        <v>90</v>
      </c>
    </row>
    <row r="605" spans="1:28" x14ac:dyDescent="0.25">
      <c r="A605">
        <v>101</v>
      </c>
      <c r="B605" t="s">
        <v>41</v>
      </c>
      <c r="C605" t="s">
        <v>42</v>
      </c>
      <c r="D605" t="s">
        <v>13</v>
      </c>
      <c r="E605" t="s">
        <v>7</v>
      </c>
      <c r="F605" s="1">
        <v>44982</v>
      </c>
      <c r="G605" s="1">
        <v>45119</v>
      </c>
      <c r="H605">
        <f t="shared" si="143"/>
        <v>137</v>
      </c>
      <c r="I605" t="s">
        <v>36</v>
      </c>
      <c r="J605">
        <v>31.5</v>
      </c>
      <c r="K605">
        <v>226</v>
      </c>
      <c r="L605">
        <v>2</v>
      </c>
      <c r="M605">
        <v>3</v>
      </c>
      <c r="N605">
        <v>4</v>
      </c>
      <c r="O605" s="2">
        <v>22.87</v>
      </c>
      <c r="P605" s="3">
        <v>0.50849999999999995</v>
      </c>
      <c r="Q605" s="4">
        <v>0.50962962962962999</v>
      </c>
      <c r="R605" s="4">
        <v>0.77013888888888893</v>
      </c>
      <c r="T605" s="13"/>
      <c r="U605" s="10">
        <v>37.287999999999997</v>
      </c>
      <c r="V605" s="2"/>
      <c r="W605" s="2" t="str">
        <f t="shared" si="140"/>
        <v>6:15:08</v>
      </c>
      <c r="X605" s="10">
        <v>8.0199999999999994E-2</v>
      </c>
      <c r="Y605" s="12">
        <f t="shared" si="146"/>
        <v>37.207799999999999</v>
      </c>
      <c r="AA605" s="10">
        <f t="shared" si="147"/>
        <v>37.207799999999999</v>
      </c>
      <c r="AB605" s="10" t="s">
        <v>90</v>
      </c>
    </row>
    <row r="606" spans="1:28" x14ac:dyDescent="0.25">
      <c r="A606">
        <v>101</v>
      </c>
      <c r="B606" t="s">
        <v>41</v>
      </c>
      <c r="C606" t="s">
        <v>42</v>
      </c>
      <c r="D606" t="s">
        <v>13</v>
      </c>
      <c r="E606" t="s">
        <v>7</v>
      </c>
      <c r="F606" s="1">
        <v>44982</v>
      </c>
      <c r="G606" s="1">
        <v>45119</v>
      </c>
      <c r="H606">
        <f t="shared" si="143"/>
        <v>137</v>
      </c>
      <c r="I606" t="s">
        <v>36</v>
      </c>
      <c r="J606">
        <v>31.5</v>
      </c>
      <c r="K606">
        <v>226</v>
      </c>
      <c r="L606">
        <v>2</v>
      </c>
      <c r="M606">
        <v>3</v>
      </c>
      <c r="N606">
        <v>2</v>
      </c>
      <c r="O606" s="2">
        <v>31.14</v>
      </c>
      <c r="P606" s="3">
        <v>1.2589999999999999</v>
      </c>
      <c r="Q606" s="4">
        <v>0.50962962962962999</v>
      </c>
      <c r="R606" s="4">
        <v>0.77013888888888893</v>
      </c>
      <c r="T606" s="13"/>
      <c r="U606" s="10">
        <v>37.287999999999997</v>
      </c>
      <c r="V606" s="2"/>
      <c r="W606" s="2" t="str">
        <f t="shared" si="140"/>
        <v>6:15:08</v>
      </c>
      <c r="X606" s="10">
        <v>8.0199999999999994E-2</v>
      </c>
      <c r="Y606" s="12">
        <f t="shared" si="146"/>
        <v>37.207799999999999</v>
      </c>
      <c r="AA606" s="10">
        <f t="shared" si="147"/>
        <v>37.207799999999999</v>
      </c>
      <c r="AB606" s="10" t="s">
        <v>90</v>
      </c>
    </row>
    <row r="607" spans="1:28" x14ac:dyDescent="0.25">
      <c r="A607">
        <v>65</v>
      </c>
      <c r="B607" t="s">
        <v>41</v>
      </c>
      <c r="C607" t="s">
        <v>42</v>
      </c>
      <c r="D607" t="s">
        <v>13</v>
      </c>
      <c r="E607" t="s">
        <v>7</v>
      </c>
      <c r="F607" s="1">
        <v>44953</v>
      </c>
      <c r="G607" s="1">
        <v>45086</v>
      </c>
      <c r="H607">
        <f t="shared" si="143"/>
        <v>133</v>
      </c>
      <c r="I607" t="s">
        <v>38</v>
      </c>
      <c r="J607">
        <v>31.5</v>
      </c>
      <c r="K607">
        <v>126</v>
      </c>
      <c r="L607">
        <v>1</v>
      </c>
      <c r="M607">
        <v>3</v>
      </c>
      <c r="N607">
        <v>3</v>
      </c>
      <c r="O607" s="2">
        <v>35.69</v>
      </c>
      <c r="P607" s="3">
        <v>1.9946999999999999</v>
      </c>
      <c r="Q607" s="4">
        <v>0.481793981481482</v>
      </c>
      <c r="R607" s="4">
        <v>0.74305555555555547</v>
      </c>
      <c r="S607" s="2">
        <f>AVERAGE(T607:U607)</f>
        <v>37.230500000000006</v>
      </c>
      <c r="T607" s="13">
        <v>37.200000000000003</v>
      </c>
      <c r="U607" s="10">
        <v>37.261000000000003</v>
      </c>
      <c r="V607" s="2">
        <f>U607-T607</f>
        <v>6.0999999999999943E-2</v>
      </c>
      <c r="W607" s="2" t="str">
        <f t="shared" si="140"/>
        <v>6:16:13</v>
      </c>
      <c r="X607" s="10">
        <v>3.3820000000000003E-2</v>
      </c>
      <c r="Y607" s="12">
        <f t="shared" si="146"/>
        <v>37.227180000000004</v>
      </c>
      <c r="Z607" s="10">
        <f>Y607-T607</f>
        <v>2.7180000000001314E-2</v>
      </c>
      <c r="AA607" s="10">
        <f t="shared" si="147"/>
        <v>37.213590000000003</v>
      </c>
      <c r="AB607" s="10" t="s">
        <v>90</v>
      </c>
    </row>
    <row r="608" spans="1:28" ht="15" customHeight="1" x14ac:dyDescent="0.25">
      <c r="A608">
        <v>101</v>
      </c>
      <c r="B608" t="s">
        <v>41</v>
      </c>
      <c r="C608" t="s">
        <v>42</v>
      </c>
      <c r="D608" t="s">
        <v>13</v>
      </c>
      <c r="E608" t="s">
        <v>7</v>
      </c>
      <c r="F608" s="1">
        <v>44982</v>
      </c>
      <c r="G608" s="1">
        <v>45120</v>
      </c>
      <c r="H608">
        <f t="shared" si="143"/>
        <v>138</v>
      </c>
      <c r="I608" t="s">
        <v>37</v>
      </c>
      <c r="J608">
        <v>30</v>
      </c>
      <c r="K608">
        <v>135</v>
      </c>
      <c r="L608">
        <v>2</v>
      </c>
      <c r="M608">
        <v>1</v>
      </c>
      <c r="N608">
        <v>1</v>
      </c>
      <c r="O608" s="2">
        <v>31.72</v>
      </c>
      <c r="P608" s="3">
        <v>1.2737000000000001</v>
      </c>
      <c r="Q608" s="4">
        <v>0.493229166666667</v>
      </c>
      <c r="R608" s="4">
        <v>0.75138888888888899</v>
      </c>
      <c r="T608" s="13">
        <v>37.299999999999997</v>
      </c>
      <c r="U608" s="10">
        <v>37.232999999999997</v>
      </c>
      <c r="V608" s="2">
        <f>U608-T608</f>
        <v>-6.7000000000000171E-2</v>
      </c>
      <c r="W608" s="2" t="str">
        <f t="shared" si="140"/>
        <v>6:11:45</v>
      </c>
      <c r="X608" s="10">
        <v>6.8000000000000005E-2</v>
      </c>
      <c r="Y608" s="12">
        <f t="shared" si="146"/>
        <v>37.164999999999999</v>
      </c>
      <c r="Z608" s="10">
        <f>Y608-T608</f>
        <v>-0.13499999999999801</v>
      </c>
      <c r="AA608" s="10">
        <f t="shared" si="147"/>
        <v>37.232500000000002</v>
      </c>
      <c r="AB608" s="10" t="s">
        <v>90</v>
      </c>
    </row>
    <row r="609" spans="1:28" ht="15" customHeight="1" x14ac:dyDescent="0.25">
      <c r="A609">
        <v>101</v>
      </c>
      <c r="B609" t="s">
        <v>41</v>
      </c>
      <c r="C609" t="s">
        <v>42</v>
      </c>
      <c r="D609" t="s">
        <v>13</v>
      </c>
      <c r="E609" t="s">
        <v>7</v>
      </c>
      <c r="F609" s="1">
        <v>44982</v>
      </c>
      <c r="G609" s="1">
        <v>45120</v>
      </c>
      <c r="H609">
        <f t="shared" si="143"/>
        <v>138</v>
      </c>
      <c r="I609" t="s">
        <v>37</v>
      </c>
      <c r="J609">
        <v>30</v>
      </c>
      <c r="K609">
        <v>135</v>
      </c>
      <c r="L609">
        <v>2</v>
      </c>
      <c r="M609">
        <v>1</v>
      </c>
      <c r="N609">
        <v>2</v>
      </c>
      <c r="O609" s="2">
        <v>33.159999999999997</v>
      </c>
      <c r="P609" s="3">
        <v>1.5092000000000001</v>
      </c>
      <c r="Q609" s="4">
        <v>0.493229166666667</v>
      </c>
      <c r="R609" s="4">
        <v>0.75138888888888899</v>
      </c>
      <c r="T609" s="13">
        <v>37.299999999999997</v>
      </c>
      <c r="U609" s="10">
        <v>37.232999999999997</v>
      </c>
      <c r="V609" s="2">
        <f>U609-T609</f>
        <v>-6.7000000000000171E-2</v>
      </c>
      <c r="W609" s="2" t="str">
        <f t="shared" si="140"/>
        <v>6:11:45</v>
      </c>
      <c r="X609" s="10">
        <v>6.8000000000000005E-2</v>
      </c>
      <c r="Y609" s="12">
        <f t="shared" si="146"/>
        <v>37.164999999999999</v>
      </c>
      <c r="Z609" s="10">
        <f>Y609-T609</f>
        <v>-0.13499999999999801</v>
      </c>
      <c r="AA609" s="10">
        <f t="shared" si="147"/>
        <v>37.232500000000002</v>
      </c>
      <c r="AB609" s="10" t="s">
        <v>90</v>
      </c>
    </row>
    <row r="610" spans="1:28" ht="15" customHeight="1" x14ac:dyDescent="0.25">
      <c r="A610">
        <v>65</v>
      </c>
      <c r="B610" t="s">
        <v>41</v>
      </c>
      <c r="C610" t="s">
        <v>42</v>
      </c>
      <c r="D610" t="s">
        <v>13</v>
      </c>
      <c r="E610" t="s">
        <v>7</v>
      </c>
      <c r="F610" s="1">
        <v>44953</v>
      </c>
      <c r="G610" s="1">
        <v>45083</v>
      </c>
      <c r="H610">
        <f t="shared" si="143"/>
        <v>130</v>
      </c>
      <c r="I610" t="s">
        <v>38</v>
      </c>
      <c r="J610">
        <v>31.5</v>
      </c>
      <c r="K610">
        <v>126</v>
      </c>
      <c r="L610">
        <v>2</v>
      </c>
      <c r="M610">
        <v>5</v>
      </c>
      <c r="N610">
        <v>2</v>
      </c>
      <c r="O610" s="2">
        <v>27.96</v>
      </c>
      <c r="P610" s="3">
        <v>0.84440000000000004</v>
      </c>
      <c r="Q610" s="4">
        <v>0.44003472222222201</v>
      </c>
      <c r="R610" s="4">
        <v>0.72499999999999998</v>
      </c>
      <c r="S610" s="2">
        <f>AVERAGE(T610:U610)</f>
        <v>37.293999999999997</v>
      </c>
      <c r="T610" s="13">
        <v>37.299999999999997</v>
      </c>
      <c r="U610" s="10">
        <v>37.287999999999997</v>
      </c>
      <c r="V610" s="2">
        <f>U610-T610</f>
        <v>-1.2000000000000455E-2</v>
      </c>
      <c r="W610" s="2" t="str">
        <f t="shared" si="140"/>
        <v>6:50:21</v>
      </c>
      <c r="X610" s="10">
        <v>0.10340000000000001</v>
      </c>
      <c r="Y610" s="12">
        <f t="shared" si="146"/>
        <v>37.184599999999996</v>
      </c>
      <c r="Z610" s="10">
        <f>Y610-T610</f>
        <v>-0.11540000000000106</v>
      </c>
      <c r="AA610" s="10">
        <f t="shared" si="147"/>
        <v>37.2423</v>
      </c>
      <c r="AB610" s="10" t="s">
        <v>90</v>
      </c>
    </row>
    <row r="611" spans="1:28" ht="15" customHeight="1" x14ac:dyDescent="0.25">
      <c r="A611">
        <v>65</v>
      </c>
      <c r="B611" t="s">
        <v>41</v>
      </c>
      <c r="C611" t="s">
        <v>42</v>
      </c>
      <c r="D611" t="s">
        <v>13</v>
      </c>
      <c r="E611" t="s">
        <v>7</v>
      </c>
      <c r="F611" s="1">
        <v>44953</v>
      </c>
      <c r="G611" s="1">
        <v>45083</v>
      </c>
      <c r="H611">
        <f t="shared" si="143"/>
        <v>130</v>
      </c>
      <c r="I611" t="s">
        <v>38</v>
      </c>
      <c r="J611">
        <v>31.5</v>
      </c>
      <c r="K611">
        <v>126</v>
      </c>
      <c r="L611">
        <v>2</v>
      </c>
      <c r="M611">
        <v>5</v>
      </c>
      <c r="N611">
        <v>5</v>
      </c>
      <c r="O611" s="2">
        <v>20.62</v>
      </c>
      <c r="P611" s="3">
        <v>0.3594</v>
      </c>
      <c r="Q611" s="4">
        <v>0.44003472222222201</v>
      </c>
      <c r="R611" s="4">
        <v>0.72777777777777775</v>
      </c>
      <c r="S611" s="2">
        <f>AVERAGE(T611:U611)</f>
        <v>37.334999999999994</v>
      </c>
      <c r="T611" s="13">
        <v>37.299999999999997</v>
      </c>
      <c r="U611" s="10">
        <v>37.369999999999997</v>
      </c>
      <c r="V611" s="2">
        <f>U611-T611</f>
        <v>7.0000000000000284E-2</v>
      </c>
      <c r="W611" s="2" t="str">
        <f t="shared" si="140"/>
        <v>6:54:21</v>
      </c>
      <c r="X611" s="10">
        <v>0.10340000000000001</v>
      </c>
      <c r="Y611" s="12">
        <f t="shared" si="146"/>
        <v>37.266599999999997</v>
      </c>
      <c r="Z611" s="10">
        <f>Y611-T611</f>
        <v>-3.3400000000000318E-2</v>
      </c>
      <c r="AA611" s="10">
        <f t="shared" si="147"/>
        <v>37.283299999999997</v>
      </c>
      <c r="AB611" s="10" t="s">
        <v>90</v>
      </c>
    </row>
    <row r="612" spans="1:28" ht="15" customHeight="1" x14ac:dyDescent="0.25">
      <c r="A612">
        <v>65</v>
      </c>
      <c r="B612" t="s">
        <v>41</v>
      </c>
      <c r="C612" t="s">
        <v>42</v>
      </c>
      <c r="D612" t="s">
        <v>13</v>
      </c>
      <c r="E612" t="s">
        <v>7</v>
      </c>
      <c r="F612" s="1">
        <v>44953</v>
      </c>
      <c r="G612" s="1">
        <v>45086</v>
      </c>
      <c r="H612">
        <f t="shared" si="143"/>
        <v>133</v>
      </c>
      <c r="J612">
        <v>31.5</v>
      </c>
      <c r="K612">
        <v>126</v>
      </c>
      <c r="L612">
        <v>2</v>
      </c>
      <c r="O612" s="2">
        <v>30.02</v>
      </c>
      <c r="P612" s="3">
        <v>1.0629999999999999</v>
      </c>
      <c r="Q612" s="4">
        <v>0.481793981481482</v>
      </c>
      <c r="R612" s="4">
        <v>0.73402777777777783</v>
      </c>
      <c r="S612" s="2">
        <v>37.299999999999997</v>
      </c>
      <c r="T612" s="13"/>
      <c r="V612" s="10"/>
      <c r="W612" s="10"/>
      <c r="Y612" s="12"/>
      <c r="AA612" s="10">
        <v>37.299999999999997</v>
      </c>
      <c r="AB612" s="10" t="s">
        <v>91</v>
      </c>
    </row>
    <row r="613" spans="1:28" ht="15" customHeight="1" x14ac:dyDescent="0.25">
      <c r="A613">
        <v>65</v>
      </c>
      <c r="B613" t="s">
        <v>41</v>
      </c>
      <c r="C613" t="s">
        <v>42</v>
      </c>
      <c r="D613" t="s">
        <v>13</v>
      </c>
      <c r="E613" t="s">
        <v>7</v>
      </c>
      <c r="F613" s="1">
        <v>44953</v>
      </c>
      <c r="G613" s="1">
        <v>45083</v>
      </c>
      <c r="H613">
        <f t="shared" si="143"/>
        <v>130</v>
      </c>
      <c r="I613" t="s">
        <v>37</v>
      </c>
      <c r="J613">
        <v>30</v>
      </c>
      <c r="K613">
        <v>232</v>
      </c>
      <c r="L613">
        <v>2</v>
      </c>
      <c r="M613">
        <v>5</v>
      </c>
      <c r="N613">
        <v>1</v>
      </c>
      <c r="Q613" s="4">
        <v>0.44003472222222201</v>
      </c>
      <c r="S613" s="2"/>
      <c r="T613" s="13"/>
      <c r="V613" s="2"/>
      <c r="W613" s="2" t="e">
        <f>TEXT(R613-Q613,"h:mm:ss")</f>
        <v>#VALUE!</v>
      </c>
      <c r="X613" s="10">
        <v>0.10340000000000001</v>
      </c>
      <c r="Y613" s="12"/>
      <c r="AB613" s="10" t="s">
        <v>90</v>
      </c>
    </row>
  </sheetData>
  <sortState xmlns:xlrd2="http://schemas.microsoft.com/office/spreadsheetml/2017/richdata2" ref="A2:AC613">
    <sortCondition ref="E2:E613"/>
    <sortCondition ref="AA2:AA613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76AC-B4E9-433A-972A-9F14E9834C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E077-623E-4D9D-A4DA-836FB193BE45}">
  <dimension ref="A3:D31"/>
  <sheetViews>
    <sheetView workbookViewId="0">
      <selection activeCell="C7" sqref="C7"/>
    </sheetView>
  </sheetViews>
  <sheetFormatPr defaultRowHeight="15" x14ac:dyDescent="0.25"/>
  <cols>
    <col min="1" max="1" width="24.140625" bestFit="1" customWidth="1"/>
    <col min="2" max="2" width="11.28515625" bestFit="1" customWidth="1"/>
    <col min="3" max="3" width="7.7109375" bestFit="1" customWidth="1"/>
    <col min="4" max="4" width="11.7109375" bestFit="1" customWidth="1"/>
    <col min="5" max="6" width="12.5703125" bestFit="1" customWidth="1"/>
  </cols>
  <sheetData>
    <row r="3" spans="1:4" x14ac:dyDescent="0.25">
      <c r="A3" s="7" t="s">
        <v>15</v>
      </c>
      <c r="B3" s="7" t="s">
        <v>11</v>
      </c>
    </row>
    <row r="4" spans="1:4" x14ac:dyDescent="0.25">
      <c r="A4" s="7" t="s">
        <v>2</v>
      </c>
      <c r="B4" t="s">
        <v>12</v>
      </c>
      <c r="C4" t="s">
        <v>13</v>
      </c>
      <c r="D4" t="s">
        <v>9</v>
      </c>
    </row>
    <row r="5" spans="1:4" x14ac:dyDescent="0.25">
      <c r="A5">
        <v>28.5</v>
      </c>
      <c r="B5">
        <v>36.97842857142858</v>
      </c>
      <c r="C5">
        <v>36.969874999999995</v>
      </c>
      <c r="D5">
        <v>36.971493243243231</v>
      </c>
    </row>
    <row r="6" spans="1:4" x14ac:dyDescent="0.25">
      <c r="A6">
        <v>30</v>
      </c>
      <c r="B6">
        <v>37.149909090909098</v>
      </c>
      <c r="C6">
        <v>37.036184210526315</v>
      </c>
      <c r="D6">
        <v>37.05458088235293</v>
      </c>
    </row>
    <row r="7" spans="1:4" x14ac:dyDescent="0.25">
      <c r="A7">
        <v>31.5</v>
      </c>
      <c r="B7">
        <v>37.35003571428571</v>
      </c>
      <c r="C7">
        <v>37.194305084745778</v>
      </c>
      <c r="D7">
        <v>37.224171232876706</v>
      </c>
    </row>
    <row r="8" spans="1:4" x14ac:dyDescent="0.25">
      <c r="A8" t="s">
        <v>9</v>
      </c>
      <c r="B8">
        <v>37.160192307692292</v>
      </c>
      <c r="C8">
        <v>37.066585227272718</v>
      </c>
      <c r="D8">
        <v>37.083565116279061</v>
      </c>
    </row>
    <row r="11" spans="1:4" x14ac:dyDescent="0.25">
      <c r="A11" s="7" t="s">
        <v>10</v>
      </c>
      <c r="B11" s="7" t="s">
        <v>11</v>
      </c>
    </row>
    <row r="12" spans="1:4" x14ac:dyDescent="0.25">
      <c r="A12" s="7" t="s">
        <v>2</v>
      </c>
      <c r="B12" t="s">
        <v>12</v>
      </c>
      <c r="C12" t="s">
        <v>13</v>
      </c>
      <c r="D12" t="s">
        <v>9</v>
      </c>
    </row>
    <row r="13" spans="1:4" x14ac:dyDescent="0.25">
      <c r="A13">
        <v>28.5</v>
      </c>
      <c r="B13">
        <v>0.1223744029813905</v>
      </c>
      <c r="C13">
        <v>0.16819874808475149</v>
      </c>
      <c r="D13">
        <v>0.15982311484044742</v>
      </c>
    </row>
    <row r="14" spans="1:4" x14ac:dyDescent="0.25">
      <c r="A14">
        <v>30</v>
      </c>
      <c r="B14">
        <v>0.15567431036687501</v>
      </c>
      <c r="C14">
        <v>0.19920176938096482</v>
      </c>
      <c r="D14">
        <v>0.1963758696146034</v>
      </c>
    </row>
    <row r="15" spans="1:4" x14ac:dyDescent="0.25">
      <c r="A15">
        <v>31.5</v>
      </c>
      <c r="B15">
        <v>0.19868475845485994</v>
      </c>
      <c r="C15">
        <v>0.13650720003689423</v>
      </c>
      <c r="D15">
        <v>0.16108922258394226</v>
      </c>
    </row>
    <row r="16" spans="1:4" x14ac:dyDescent="0.25">
      <c r="A16" t="s">
        <v>9</v>
      </c>
      <c r="B16">
        <v>0.22469118033339114</v>
      </c>
      <c r="C16">
        <v>0.193440728788179</v>
      </c>
      <c r="D16">
        <v>0.20216808598966532</v>
      </c>
    </row>
    <row r="19" spans="1:4" x14ac:dyDescent="0.25">
      <c r="A19" s="7" t="s">
        <v>14</v>
      </c>
      <c r="B19" s="7" t="s">
        <v>11</v>
      </c>
    </row>
    <row r="20" spans="1:4" x14ac:dyDescent="0.25">
      <c r="A20" s="7" t="s">
        <v>2</v>
      </c>
      <c r="B20" t="s">
        <v>12</v>
      </c>
      <c r="C20" t="s">
        <v>13</v>
      </c>
      <c r="D20" t="s">
        <v>9</v>
      </c>
    </row>
    <row r="21" spans="1:4" x14ac:dyDescent="0.25">
      <c r="A21">
        <v>28.5</v>
      </c>
      <c r="B21">
        <v>14</v>
      </c>
      <c r="C21">
        <v>60</v>
      </c>
      <c r="D21">
        <v>74</v>
      </c>
    </row>
    <row r="22" spans="1:4" x14ac:dyDescent="0.25">
      <c r="A22">
        <v>30</v>
      </c>
      <c r="B22">
        <v>11</v>
      </c>
      <c r="C22">
        <v>57</v>
      </c>
      <c r="D22">
        <v>68</v>
      </c>
    </row>
    <row r="23" spans="1:4" x14ac:dyDescent="0.25">
      <c r="A23">
        <v>31.5</v>
      </c>
      <c r="B23">
        <v>14</v>
      </c>
      <c r="C23">
        <v>59</v>
      </c>
      <c r="D23">
        <v>73</v>
      </c>
    </row>
    <row r="24" spans="1:4" x14ac:dyDescent="0.25">
      <c r="A24" t="s">
        <v>9</v>
      </c>
      <c r="B24">
        <v>39</v>
      </c>
      <c r="C24">
        <v>176</v>
      </c>
      <c r="D24">
        <v>215</v>
      </c>
    </row>
    <row r="27" spans="1:4" x14ac:dyDescent="0.25">
      <c r="A27" t="s">
        <v>15</v>
      </c>
      <c r="B27" t="s">
        <v>11</v>
      </c>
    </row>
    <row r="28" spans="1:4" x14ac:dyDescent="0.25">
      <c r="A28" t="s">
        <v>2</v>
      </c>
      <c r="B28" t="s">
        <v>12</v>
      </c>
      <c r="C28" t="s">
        <v>13</v>
      </c>
    </row>
    <row r="29" spans="1:4" x14ac:dyDescent="0.25">
      <c r="A29">
        <v>28.5</v>
      </c>
      <c r="B29">
        <f t="shared" ref="B29:C31" si="0">B13/SQRT(B21)</f>
        <v>3.2705934919097915E-2</v>
      </c>
      <c r="C29">
        <f t="shared" si="0"/>
        <v>2.1714365006172638E-2</v>
      </c>
    </row>
    <row r="30" spans="1:4" x14ac:dyDescent="0.25">
      <c r="A30">
        <v>30</v>
      </c>
      <c r="B30">
        <f t="shared" si="0"/>
        <v>4.693757063493257E-2</v>
      </c>
      <c r="C30">
        <f t="shared" si="0"/>
        <v>2.6384918912969658E-2</v>
      </c>
    </row>
    <row r="31" spans="1:4" x14ac:dyDescent="0.25">
      <c r="A31">
        <v>31.5</v>
      </c>
      <c r="B31">
        <f t="shared" si="0"/>
        <v>5.310073529371593E-2</v>
      </c>
      <c r="C31">
        <f t="shared" si="0"/>
        <v>1.777172371384474E-2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D5C7-FB33-4C82-BBC2-C2C92D415A9D}">
  <dimension ref="A3:H31"/>
  <sheetViews>
    <sheetView workbookViewId="0">
      <selection activeCell="B3" sqref="B3"/>
    </sheetView>
  </sheetViews>
  <sheetFormatPr defaultRowHeight="15" x14ac:dyDescent="0.25"/>
  <cols>
    <col min="1" max="1" width="29.5703125" bestFit="1" customWidth="1"/>
    <col min="2" max="2" width="16.140625" bestFit="1" customWidth="1"/>
    <col min="3" max="3" width="27.5703125" bestFit="1" customWidth="1"/>
    <col min="4" max="4" width="19.140625" bestFit="1" customWidth="1"/>
    <col min="5" max="5" width="12.5703125" bestFit="1" customWidth="1"/>
    <col min="6" max="6" width="14.5703125" bestFit="1" customWidth="1"/>
    <col min="7" max="7" width="7.42578125" bestFit="1" customWidth="1"/>
    <col min="8" max="8" width="12.5703125" bestFit="1" customWidth="1"/>
  </cols>
  <sheetData>
    <row r="3" spans="1:8" x14ac:dyDescent="0.25">
      <c r="A3" s="7" t="s">
        <v>0</v>
      </c>
      <c r="B3" s="7" t="s">
        <v>1</v>
      </c>
    </row>
    <row r="4" spans="1:8" x14ac:dyDescent="0.25">
      <c r="A4" s="7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</row>
    <row r="5" spans="1:8" x14ac:dyDescent="0.25">
      <c r="A5">
        <v>28.5</v>
      </c>
      <c r="B5" s="9">
        <v>36.94444444444445</v>
      </c>
      <c r="C5" s="9">
        <v>36.921052631578938</v>
      </c>
      <c r="D5" s="9">
        <v>36.9375</v>
      </c>
      <c r="E5" s="9">
        <v>37.010000000000005</v>
      </c>
      <c r="F5" s="9">
        <v>36.942857142857136</v>
      </c>
      <c r="G5" s="9"/>
      <c r="H5" s="9">
        <v>36.939705882352939</v>
      </c>
    </row>
    <row r="6" spans="1:8" x14ac:dyDescent="0.25">
      <c r="A6">
        <v>30</v>
      </c>
      <c r="B6" s="9">
        <v>37.183333333333337</v>
      </c>
      <c r="C6" s="9">
        <v>36.905555555555551</v>
      </c>
      <c r="D6" s="9">
        <v>37.107142857142854</v>
      </c>
      <c r="E6" s="9">
        <v>37.059999999999995</v>
      </c>
      <c r="F6" s="9">
        <v>36.971428571428568</v>
      </c>
      <c r="G6" s="9"/>
      <c r="H6" s="9">
        <v>37.030701754385952</v>
      </c>
    </row>
    <row r="7" spans="1:8" x14ac:dyDescent="0.25">
      <c r="A7">
        <v>31.5</v>
      </c>
      <c r="B7" s="9">
        <v>37.4</v>
      </c>
      <c r="C7" s="9">
        <v>37.217857142857156</v>
      </c>
      <c r="D7" s="9">
        <v>37.223913043478255</v>
      </c>
      <c r="E7" s="9">
        <v>37.300000000000004</v>
      </c>
      <c r="F7" s="9">
        <v>37.112500000000004</v>
      </c>
      <c r="G7" s="9"/>
      <c r="H7" s="9">
        <v>37.235593220338991</v>
      </c>
    </row>
    <row r="8" spans="1:8" x14ac:dyDescent="0.25">
      <c r="A8" t="s">
        <v>8</v>
      </c>
      <c r="B8" s="9"/>
      <c r="C8" s="9"/>
      <c r="D8" s="9"/>
      <c r="E8" s="9"/>
      <c r="F8" s="9"/>
      <c r="G8" s="9"/>
      <c r="H8" s="9"/>
    </row>
    <row r="9" spans="1:8" x14ac:dyDescent="0.25">
      <c r="A9" t="s">
        <v>9</v>
      </c>
      <c r="B9" s="9">
        <v>37.142857142857146</v>
      </c>
      <c r="C9" s="9">
        <v>36.997058823529393</v>
      </c>
      <c r="D9" s="9">
        <v>37.078472222222246</v>
      </c>
      <c r="E9" s="9">
        <v>37.152777777777771</v>
      </c>
      <c r="F9" s="9">
        <v>37.013636363636358</v>
      </c>
      <c r="G9" s="9"/>
      <c r="H9" s="9">
        <v>37.062771739130433</v>
      </c>
    </row>
    <row r="11" spans="1:8" x14ac:dyDescent="0.25">
      <c r="A11" t="s">
        <v>10</v>
      </c>
      <c r="B11" t="s">
        <v>11</v>
      </c>
    </row>
    <row r="12" spans="1:8" x14ac:dyDescent="0.25">
      <c r="A12" t="s">
        <v>2</v>
      </c>
      <c r="B12" t="s">
        <v>12</v>
      </c>
      <c r="C12" t="s">
        <v>13</v>
      </c>
      <c r="D12" t="s">
        <v>9</v>
      </c>
    </row>
    <row r="13" spans="1:8" x14ac:dyDescent="0.25">
      <c r="A13">
        <v>28.5</v>
      </c>
      <c r="B13">
        <v>0.1223744029813905</v>
      </c>
      <c r="C13">
        <v>0.16819874808475149</v>
      </c>
      <c r="D13">
        <v>0.15982311484044742</v>
      </c>
    </row>
    <row r="14" spans="1:8" x14ac:dyDescent="0.25">
      <c r="A14">
        <v>30</v>
      </c>
      <c r="B14">
        <v>0.15567431036687501</v>
      </c>
      <c r="C14">
        <v>0.19920176938096482</v>
      </c>
      <c r="D14">
        <v>0.1963758696146034</v>
      </c>
    </row>
    <row r="15" spans="1:8" x14ac:dyDescent="0.25">
      <c r="A15">
        <v>31.5</v>
      </c>
      <c r="B15">
        <v>0.19868475845485994</v>
      </c>
      <c r="C15">
        <v>0.13650720003689423</v>
      </c>
      <c r="D15">
        <v>0.16108922258394226</v>
      </c>
    </row>
    <row r="16" spans="1:8" x14ac:dyDescent="0.25">
      <c r="A16" t="s">
        <v>9</v>
      </c>
      <c r="B16">
        <v>0.22469118033339114</v>
      </c>
      <c r="C16">
        <v>0.193440728788179</v>
      </c>
      <c r="D16">
        <v>0.20216808598966532</v>
      </c>
    </row>
    <row r="19" spans="1:4" x14ac:dyDescent="0.25">
      <c r="A19" t="s">
        <v>14</v>
      </c>
      <c r="B19" t="s">
        <v>11</v>
      </c>
    </row>
    <row r="20" spans="1:4" x14ac:dyDescent="0.25">
      <c r="A20" t="s">
        <v>2</v>
      </c>
      <c r="B20" t="s">
        <v>12</v>
      </c>
      <c r="C20" t="s">
        <v>13</v>
      </c>
      <c r="D20" t="s">
        <v>9</v>
      </c>
    </row>
    <row r="21" spans="1:4" x14ac:dyDescent="0.25">
      <c r="A21">
        <v>28.5</v>
      </c>
      <c r="B21">
        <v>14</v>
      </c>
      <c r="C21">
        <v>60</v>
      </c>
      <c r="D21">
        <v>74</v>
      </c>
    </row>
    <row r="22" spans="1:4" x14ac:dyDescent="0.25">
      <c r="A22">
        <v>30</v>
      </c>
      <c r="B22">
        <v>11</v>
      </c>
      <c r="C22">
        <v>57</v>
      </c>
      <c r="D22">
        <v>68</v>
      </c>
    </row>
    <row r="23" spans="1:4" x14ac:dyDescent="0.25">
      <c r="A23">
        <v>31.5</v>
      </c>
      <c r="B23">
        <v>14</v>
      </c>
      <c r="C23">
        <v>59</v>
      </c>
      <c r="D23">
        <v>73</v>
      </c>
    </row>
    <row r="24" spans="1:4" x14ac:dyDescent="0.25">
      <c r="A24" t="s">
        <v>9</v>
      </c>
      <c r="B24">
        <v>39</v>
      </c>
      <c r="C24">
        <v>176</v>
      </c>
      <c r="D24">
        <v>215</v>
      </c>
    </row>
    <row r="27" spans="1:4" x14ac:dyDescent="0.25">
      <c r="A27" t="s">
        <v>15</v>
      </c>
      <c r="B27" t="s">
        <v>11</v>
      </c>
    </row>
    <row r="28" spans="1:4" x14ac:dyDescent="0.25">
      <c r="A28" t="s">
        <v>2</v>
      </c>
      <c r="B28" t="s">
        <v>12</v>
      </c>
      <c r="C28" t="s">
        <v>13</v>
      </c>
    </row>
    <row r="29" spans="1:4" x14ac:dyDescent="0.25">
      <c r="A29">
        <v>28.5</v>
      </c>
      <c r="B29">
        <f t="shared" ref="B29:C31" si="0">B13/SQRT(B21)</f>
        <v>3.2705934919097915E-2</v>
      </c>
      <c r="C29">
        <f t="shared" si="0"/>
        <v>2.1714365006172638E-2</v>
      </c>
    </row>
    <row r="30" spans="1:4" x14ac:dyDescent="0.25">
      <c r="A30">
        <v>30</v>
      </c>
      <c r="B30">
        <f t="shared" si="0"/>
        <v>4.693757063493257E-2</v>
      </c>
      <c r="C30">
        <f t="shared" si="0"/>
        <v>2.6384918912969658E-2</v>
      </c>
    </row>
    <row r="31" spans="1:4" x14ac:dyDescent="0.25">
      <c r="A31">
        <v>31.5</v>
      </c>
      <c r="B31">
        <f t="shared" si="0"/>
        <v>5.310073529371593E-2</v>
      </c>
      <c r="C31">
        <f t="shared" si="0"/>
        <v>1.777172371384474E-2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DC9C-4B81-4A45-8149-DF3D53446C18}">
  <dimension ref="A3:E7"/>
  <sheetViews>
    <sheetView topLeftCell="A4" workbookViewId="0">
      <selection activeCell="B21" sqref="B21"/>
    </sheetView>
  </sheetViews>
  <sheetFormatPr defaultRowHeight="15" x14ac:dyDescent="0.25"/>
  <cols>
    <col min="1" max="1" width="13.5703125" bestFit="1" customWidth="1"/>
    <col min="2" max="2" width="15.5703125" bestFit="1" customWidth="1"/>
    <col min="3" max="5" width="11.85546875" bestFit="1" customWidth="1"/>
  </cols>
  <sheetData>
    <row r="3" spans="1:5" x14ac:dyDescent="0.25">
      <c r="A3" s="7" t="s">
        <v>94</v>
      </c>
      <c r="B3" s="7" t="s">
        <v>93</v>
      </c>
    </row>
    <row r="4" spans="1:5" x14ac:dyDescent="0.25">
      <c r="A4" s="7" t="s">
        <v>92</v>
      </c>
      <c r="B4">
        <v>28.5</v>
      </c>
      <c r="C4">
        <v>30</v>
      </c>
      <c r="D4">
        <v>31.5</v>
      </c>
      <c r="E4" t="s">
        <v>9</v>
      </c>
    </row>
    <row r="5" spans="1:5" x14ac:dyDescent="0.25">
      <c r="A5" s="23" t="s">
        <v>12</v>
      </c>
      <c r="B5" s="9">
        <v>36.880564850000013</v>
      </c>
      <c r="C5" s="9">
        <v>37.030437836538475</v>
      </c>
      <c r="D5" s="9">
        <v>37.177579292929295</v>
      </c>
      <c r="E5" s="9">
        <v>37.029050726072626</v>
      </c>
    </row>
    <row r="6" spans="1:5" x14ac:dyDescent="0.25">
      <c r="A6" s="23" t="s">
        <v>13</v>
      </c>
      <c r="B6" s="9">
        <v>36.890138578947365</v>
      </c>
      <c r="C6" s="9">
        <v>37.000419148936182</v>
      </c>
      <c r="D6" s="9">
        <v>37.113927684210552</v>
      </c>
      <c r="E6" s="9">
        <v>37.001498926056264</v>
      </c>
    </row>
    <row r="7" spans="1:5" x14ac:dyDescent="0.25">
      <c r="A7" s="23" t="s">
        <v>9</v>
      </c>
      <c r="B7" s="9">
        <v>36.885228974358974</v>
      </c>
      <c r="C7" s="9">
        <v>37.016186540404036</v>
      </c>
      <c r="D7" s="9">
        <v>37.146409690721654</v>
      </c>
      <c r="E7" s="9">
        <v>37.015720724020412</v>
      </c>
    </row>
  </sheetData>
  <conditionalFormatting sqref="N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Sheet2 (2)</vt:lpstr>
      <vt:lpstr>Sheet3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Elliott Schmidt</dc:creator>
  <cp:keywords/>
  <dc:description/>
  <cp:lastModifiedBy>Elliott Schmidt</cp:lastModifiedBy>
  <cp:revision/>
  <dcterms:created xsi:type="dcterms:W3CDTF">2023-06-10T06:56:59Z</dcterms:created>
  <dcterms:modified xsi:type="dcterms:W3CDTF">2024-03-18T23:51:03Z</dcterms:modified>
  <cp:category/>
  <cp:contentStatus/>
</cp:coreProperties>
</file>